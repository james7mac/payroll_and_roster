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1.xml.rels" ContentType="application/vnd.openxmlformats-package.relationships+xml"/>
  <Override PartName="/customXml/_rels/item2.xml.rels" ContentType="application/vnd.openxmlformats-package.relationships+xml"/>
  <Override PartName="/customXml/_rels/item3.xml.rels" ContentType="application/vnd.openxmlformats-package.relationships+xml"/>
  <Override PartName="/customXml/itemProps2.xml" ContentType="application/vnd.openxmlformats-officedocument.customXmlProperties+xml"/>
  <Override PartName="/customXml/item3.xml" ContentType="application/xml"/>
  <Override PartName="/customXml/itemProps3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1" activeTab="3"/>
  </bookViews>
  <sheets>
    <sheet name="18th Nov 2012 master Occo (3)" sheetId="1" state="hidden" r:id="rId2"/>
    <sheet name="PROPOSED ROSTER WEEK 1" sheetId="2" state="visible" r:id="rId3"/>
    <sheet name="PROPOSED ROSTER WEEK 2" sheetId="3" state="visible" r:id="rId4"/>
    <sheet name="PROPOSED ROSTER WEEK 3" sheetId="4" state="visible" r:id="rId5"/>
    <sheet name="PROPOSED ROSTER WEEK 4" sheetId="5" state="visible" r:id="rId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<sst xmlns="http://schemas.openxmlformats.org/spreadsheetml/2006/main" count="1707" uniqueCount="123">
  <si>
    <t xml:space="preserve">Name</t>
  </si>
  <si>
    <t xml:space="preserve">Sunday</t>
  </si>
  <si>
    <t xml:space="preserve">Monday</t>
  </si>
  <si>
    <t xml:space="preserve">Tuesday</t>
  </si>
  <si>
    <t xml:space="preserve">Wednesday</t>
  </si>
  <si>
    <t xml:space="preserve">Thursday</t>
  </si>
  <si>
    <t xml:space="preserve">Friday</t>
  </si>
  <si>
    <t xml:space="preserve">Saturday</t>
  </si>
  <si>
    <t xml:space="preserve">TOTAL</t>
  </si>
  <si>
    <t xml:space="preserve">week 1</t>
  </si>
  <si>
    <t xml:space="preserve">TC302</t>
  </si>
  <si>
    <t xml:space="preserve">8402/8441</t>
  </si>
  <si>
    <t xml:space="preserve">TC304</t>
  </si>
  <si>
    <t xml:space="preserve">8404 / 8407</t>
  </si>
  <si>
    <t xml:space="preserve">TC308</t>
  </si>
  <si>
    <t xml:space="preserve">8408 / 8411</t>
  </si>
  <si>
    <t xml:space="preserve">TC710</t>
  </si>
  <si>
    <t xml:space="preserve">8410/8417</t>
  </si>
  <si>
    <t xml:space="preserve">OFF ROSTER</t>
  </si>
  <si>
    <t xml:space="preserve">TC104</t>
  </si>
  <si>
    <t xml:space="preserve">8404 / 8413</t>
  </si>
  <si>
    <t xml:space="preserve">TC300</t>
  </si>
  <si>
    <t xml:space="preserve">8400/ 03/8424</t>
  </si>
  <si>
    <t xml:space="preserve">EDO</t>
  </si>
  <si>
    <t xml:space="preserve">TC328</t>
  </si>
  <si>
    <t xml:space="preserve">8428 / 8429</t>
  </si>
  <si>
    <t xml:space="preserve">TC324b</t>
  </si>
  <si>
    <t xml:space="preserve">8137 / 8431</t>
  </si>
  <si>
    <t xml:space="preserve">TC634</t>
  </si>
  <si>
    <t xml:space="preserve">TC734</t>
  </si>
  <si>
    <t xml:space="preserve">AVAILABLE</t>
  </si>
  <si>
    <t xml:space="preserve">TC130</t>
  </si>
  <si>
    <t xml:space="preserve">8430 / 8429</t>
  </si>
  <si>
    <t xml:space="preserve">TC312</t>
  </si>
  <si>
    <t xml:space="preserve">12/211/232/17</t>
  </si>
  <si>
    <t xml:space="preserve">TC306</t>
  </si>
  <si>
    <t xml:space="preserve">8406 / 8409</t>
  </si>
  <si>
    <t xml:space="preserve">TC310</t>
  </si>
  <si>
    <t xml:space="preserve">8410 / 8415</t>
  </si>
  <si>
    <t xml:space="preserve">TC720</t>
  </si>
  <si>
    <t xml:space="preserve">8420/8419</t>
  </si>
  <si>
    <t xml:space="preserve">TC122</t>
  </si>
  <si>
    <t xml:space="preserve">8422 / 8425</t>
  </si>
  <si>
    <t xml:space="preserve">TC330</t>
  </si>
  <si>
    <t xml:space="preserve">8430 / 8433</t>
  </si>
  <si>
    <t xml:space="preserve">TC322</t>
  </si>
  <si>
    <t xml:space="preserve">8422 / 8423</t>
  </si>
  <si>
    <t xml:space="preserve">TC708</t>
  </si>
  <si>
    <t xml:space="preserve">8408 / 8409</t>
  </si>
  <si>
    <t xml:space="preserve">TC112</t>
  </si>
  <si>
    <t xml:space="preserve">TC322b</t>
  </si>
  <si>
    <t xml:space="preserve">TC722</t>
  </si>
  <si>
    <t xml:space="preserve">8422 / 8429</t>
  </si>
  <si>
    <t xml:space="preserve">8424/8137 / 8431</t>
  </si>
  <si>
    <t xml:space="preserve">TC132b</t>
  </si>
  <si>
    <t xml:space="preserve">8432 / 8433</t>
  </si>
  <si>
    <t xml:space="preserve">TC730</t>
  </si>
  <si>
    <t xml:space="preserve">TC113</t>
  </si>
  <si>
    <t xml:space="preserve">413/424/427</t>
  </si>
  <si>
    <t xml:space="preserve">TC324</t>
  </si>
  <si>
    <t xml:space="preserve">8424 / 8425</t>
  </si>
  <si>
    <t xml:space="preserve">TC724</t>
  </si>
  <si>
    <t xml:space="preserve">TC110</t>
  </si>
  <si>
    <t xml:space="preserve">8410 / 8417</t>
  </si>
  <si>
    <t xml:space="preserve">TC704</t>
  </si>
  <si>
    <t xml:space="preserve">8404 / 8409</t>
  </si>
  <si>
    <t xml:space="preserve">Ass on rtn</t>
  </si>
  <si>
    <t xml:space="preserve">TC108</t>
  </si>
  <si>
    <t xml:space="preserve">8408 / 8415</t>
  </si>
  <si>
    <t xml:space="preserve"> </t>
  </si>
  <si>
    <t xml:space="preserve">SER105</t>
  </si>
  <si>
    <t xml:space="preserve">SER116</t>
  </si>
  <si>
    <t xml:space="preserve">Rostered Off</t>
  </si>
  <si>
    <t xml:space="preserve">8300R/8714P/8307R</t>
  </si>
  <si>
    <t xml:space="preserve">Avail</t>
  </si>
  <si>
    <t xml:space="preserve">8304R/8363R/8366A</t>
  </si>
  <si>
    <t xml:space="preserve">SER100</t>
  </si>
  <si>
    <t xml:space="preserve">SER106</t>
  </si>
  <si>
    <t xml:space="preserve">SER107</t>
  </si>
  <si>
    <t xml:space="preserve">8306R/8615R</t>
  </si>
  <si>
    <t xml:space="preserve">8306R/8363R/8366R</t>
  </si>
  <si>
    <t xml:space="preserve">8302R/8307A/8316R/8365R</t>
  </si>
  <si>
    <t xml:space="preserve">SER108</t>
  </si>
  <si>
    <t xml:space="preserve">SER109</t>
  </si>
  <si>
    <t xml:space="preserve">8605R/8620R</t>
  </si>
  <si>
    <t xml:space="preserve">SER117</t>
  </si>
  <si>
    <t xml:space="preserve">8312R/8313A/8320R/8323R</t>
  </si>
  <si>
    <t xml:space="preserve">BUFF EOA -ABX</t>
  </si>
  <si>
    <t xml:space="preserve">""</t>
  </si>
  <si>
    <t xml:space="preserve">"</t>
  </si>
  <si>
    <t xml:space="preserve">SER101</t>
  </si>
  <si>
    <t xml:space="preserve">BUFF ABX-EOA</t>
  </si>
  <si>
    <t xml:space="preserve">8605/8620</t>
  </si>
  <si>
    <t xml:space="preserve">SER121</t>
  </si>
  <si>
    <t xml:space="preserve">8630/8341</t>
  </si>
  <si>
    <t xml:space="preserve">SER104</t>
  </si>
  <si>
    <t xml:space="preserve">SER113</t>
  </si>
  <si>
    <t xml:space="preserve">8326R/8369R</t>
  </si>
  <si>
    <t xml:space="preserve">SER111</t>
  </si>
  <si>
    <t xml:space="preserve">8615/8630</t>
  </si>
  <si>
    <t xml:space="preserve">SER112</t>
  </si>
  <si>
    <t xml:space="preserve">8365A/8368R/8339R</t>
  </si>
  <si>
    <t xml:space="preserve">8365R/8368R/8337R</t>
  </si>
  <si>
    <t xml:space="preserve">SER118</t>
  </si>
  <si>
    <t xml:space="preserve">SER103</t>
  </si>
  <si>
    <t xml:space="preserve">8365A/8368B/8337R</t>
  </si>
  <si>
    <t xml:space="preserve">BUFF SHT-MELB</t>
  </si>
  <si>
    <t xml:space="preserve">SER114</t>
  </si>
  <si>
    <t xml:space="preserve">8332R/8339R</t>
  </si>
  <si>
    <t xml:space="preserve">SER115</t>
  </si>
  <si>
    <t xml:space="preserve">8336/8341</t>
  </si>
  <si>
    <t xml:space="preserve">SER120</t>
  </si>
  <si>
    <t xml:space="preserve">8324/25/32/39</t>
  </si>
  <si>
    <t xml:space="preserve">SER102</t>
  </si>
  <si>
    <t xml:space="preserve">8630B/8341R</t>
  </si>
  <si>
    <t xml:space="preserve">BUFF SEY-MEL</t>
  </si>
  <si>
    <t xml:space="preserve">8365/8368/8337</t>
  </si>
  <si>
    <t xml:space="preserve">8306/8615</t>
  </si>
  <si>
    <t xml:space="preserve">8306/8363/8366</t>
  </si>
  <si>
    <t xml:space="preserve">BUFF 8630</t>
  </si>
  <si>
    <t xml:space="preserve">8615R/8630R</t>
  </si>
  <si>
    <t xml:space="preserve">8336A/8341R</t>
  </si>
  <si>
    <t xml:space="preserve">8324R/25R/32R/39R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</si>
</sst>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\-mmm\-yy"/>
    <numFmt numFmtId="166" formatCode="[$-409]d\-mmm;@"/>
    <numFmt numFmtId="167" formatCode="h:mm"/>
    <numFmt numFmtId="168" formatCode="[h]:mm:ss"/>
  </numFmts>
  <fonts count="2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6"/>
      <name val="Arial"/>
      <family val="2"/>
      <charset val="1"/>
    </font>
    <font>
      <sz val="14"/>
      <name val="Arial"/>
      <family val="2"/>
      <charset val="1"/>
    </font>
    <font>
      <sz val="12"/>
      <name val="Arial"/>
      <family val="2"/>
      <charset val="1"/>
    </font>
    <font>
      <b val="true"/>
      <sz val="14"/>
      <name val="Arial"/>
      <family val="2"/>
      <charset val="1"/>
    </font>
    <font>
      <b val="true"/>
      <sz val="16"/>
      <name val="Arial"/>
      <family val="2"/>
      <charset val="1"/>
    </font>
    <font>
      <b val="true"/>
      <sz val="16"/>
      <color rgb="FFFF0000"/>
      <name val="Arial"/>
      <family val="2"/>
      <charset val="1"/>
    </font>
    <font>
      <b val="true"/>
      <i val="true"/>
      <u val="single"/>
      <sz val="16"/>
      <name val="Arial"/>
      <family val="2"/>
      <charset val="1"/>
    </font>
    <font>
      <i val="true"/>
      <sz val="16"/>
      <name val="Arial"/>
      <family val="2"/>
      <charset val="1"/>
    </font>
    <font>
      <sz val="8"/>
      <name val="Arial"/>
      <family val="2"/>
      <charset val="1"/>
    </font>
    <font>
      <sz val="16"/>
      <color rgb="FFFF0000"/>
      <name val="Arial"/>
      <family val="2"/>
      <charset val="1"/>
    </font>
    <font>
      <sz val="12"/>
      <color rgb="FFFF0000"/>
      <name val="Arial"/>
      <family val="2"/>
      <charset val="1"/>
    </font>
    <font>
      <i val="true"/>
      <sz val="8"/>
      <name val="Arial"/>
      <family val="2"/>
      <charset val="1"/>
    </font>
    <font>
      <b val="true"/>
      <sz val="54"/>
      <color rgb="FFF3F3F3"/>
      <name val="Times New Roman"/>
      <family val="0"/>
    </font>
    <font>
      <b val="true"/>
      <sz val="16"/>
      <color rgb="FF000000"/>
      <name val="Arial"/>
      <family val="2"/>
      <charset val="1"/>
    </font>
    <font>
      <sz val="16"/>
      <color rgb="FF000000"/>
      <name val="Arial"/>
      <family val="2"/>
      <charset val="1"/>
    </font>
    <font>
      <sz val="14"/>
      <color rgb="FF000000"/>
      <name val="Arial"/>
      <family val="2"/>
      <charset val="1"/>
    </font>
    <font>
      <b val="true"/>
      <sz val="11"/>
      <color rgb="FF000000"/>
      <name val="Arial"/>
      <family val="2"/>
      <charset val="1"/>
    </font>
    <font>
      <b val="true"/>
      <sz val="9"/>
      <color rgb="FF000000"/>
      <name val="Arial"/>
      <family val="2"/>
      <charset val="1"/>
    </font>
    <font>
      <i val="true"/>
      <sz val="16"/>
      <color rgb="FFFF0000"/>
      <name val="Arial"/>
      <family val="2"/>
      <charset val="1"/>
    </font>
    <font>
      <sz val="11"/>
      <color rgb="FF000000"/>
      <name val="Calibri"/>
      <family val="2"/>
      <charset val="1"/>
    </font>
    <font>
      <b val="true"/>
      <sz val="10"/>
      <color rgb="FF000000"/>
      <name val="Arial"/>
      <family val="2"/>
      <charset val="1"/>
    </font>
    <font>
      <b val="true"/>
      <sz val="8"/>
      <color rgb="FF00000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0C0C0"/>
        <bgColor rgb="FFCCCCFF"/>
      </patternFill>
    </fill>
    <fill>
      <patternFill patternType="solid">
        <fgColor rgb="FFFFFFFF"/>
        <bgColor rgb="FFF3F3F3"/>
      </patternFill>
    </fill>
  </fills>
  <borders count="23">
    <border diagonalUp="false" diagonalDown="false">
      <left/>
      <right/>
      <top/>
      <bottom/>
      <diagonal/>
    </border>
    <border diagonalUp="false" diagonalDown="false">
      <left style="double"/>
      <right/>
      <top style="double"/>
      <bottom/>
      <diagonal/>
    </border>
    <border diagonalUp="false" diagonalDown="false">
      <left/>
      <right/>
      <top style="double"/>
      <bottom/>
      <diagonal/>
    </border>
    <border diagonalUp="false" diagonalDown="false">
      <left/>
      <right style="double"/>
      <top style="double"/>
      <bottom/>
      <diagonal/>
    </border>
    <border diagonalUp="false" diagonalDown="false">
      <left style="double"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 style="double"/>
      <top/>
      <bottom/>
      <diagonal/>
    </border>
    <border diagonalUp="false" diagonalDown="false">
      <left style="double"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double"/>
      <right style="thin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double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 style="double"/>
      <top/>
      <bottom/>
      <diagonal/>
    </border>
    <border diagonalUp="false" diagonalDown="false">
      <left/>
      <right style="double"/>
      <top/>
      <bottom style="thin"/>
      <diagonal/>
    </border>
    <border diagonalUp="false" diagonalDown="false">
      <left style="double"/>
      <right/>
      <top/>
      <bottom style="double"/>
      <diagonal/>
    </border>
    <border diagonalUp="false" diagonalDown="false">
      <left/>
      <right/>
      <top/>
      <bottom style="double"/>
      <diagonal/>
    </border>
    <border diagonalUp="false" diagonalDown="false">
      <left/>
      <right style="double"/>
      <top/>
      <bottom style="double"/>
      <diagonal/>
    </border>
  </borders>
  <cellStyleXfs count="2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0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8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6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7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9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10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0" fillId="0" borderId="1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3" borderId="12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0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10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3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2" fillId="0" borderId="15" xfId="20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7" fontId="9" fillId="0" borderId="16" xfId="20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7" fontId="5" fillId="0" borderId="15" xfId="20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8" fontId="6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1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11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9" fillId="0" borderId="10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1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12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4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17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0" xfId="2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1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10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10" fillId="0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13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1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10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5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3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3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6" fillId="0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0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0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3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1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8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9" fillId="0" borderId="16" xfId="0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7" fontId="12" fillId="0" borderId="15" xfId="0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7" fontId="16" fillId="0" borderId="15" xfId="0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8" fontId="6" fillId="0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1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5" fillId="0" borderId="2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8" fillId="0" borderId="2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6" fillId="0" borderId="2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18" fillId="0" borderId="11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8" fillId="0" borderId="9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18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9" fillId="0" borderId="11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0" borderId="1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0" borderId="1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9" fillId="0" borderId="1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1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0" borderId="13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8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5" fillId="0" borderId="1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1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0" borderId="1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9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8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8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1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Normal 2 2" xfId="21"/>
    <cellStyle name="Normal 3" xfId="22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3F3F3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5</xdr:col>
      <xdr:colOff>106200</xdr:colOff>
      <xdr:row>29</xdr:row>
      <xdr:rowOff>58680</xdr:rowOff>
    </xdr:from>
    <xdr:to>
      <xdr:col>12</xdr:col>
      <xdr:colOff>535680</xdr:colOff>
      <xdr:row>33</xdr:row>
      <xdr:rowOff>72360</xdr:rowOff>
    </xdr:to>
    <xdr:sp>
      <xdr:nvSpPr>
        <xdr:cNvPr id="0" name="Rectangle 1"/>
        <xdr:cNvSpPr/>
      </xdr:nvSpPr>
      <xdr:spPr>
        <a:xfrm>
          <a:off x="6112440" y="7526160"/>
          <a:ext cx="6919200" cy="104220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90000" rIns="90000" tIns="45000" bIns="45000">
          <a:noAutofit/>
        </a:bodyPr>
        <a:p>
          <a:pPr algn="ctr">
            <a:lnSpc>
              <a:spcPct val="100000"/>
            </a:lnSpc>
          </a:pPr>
          <a:r>
            <a:rPr b="1" lang="en-US" sz="5400" spc="284" strike="noStrike">
              <a:solidFill>
                <a:srgbClr val="f3f3f3"/>
              </a:solidFill>
              <a:latin typeface="Times New Roman"/>
            </a:rPr>
            <a:t>28 march alterations</a:t>
          </a:r>
          <a:endParaRPr b="0" lang="en-US" sz="5400" spc="-1" strike="noStrike">
            <a:latin typeface="Times New Roman"/>
          </a:endParaRPr>
        </a:p>
      </xdr:txBody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0000"/>
    <pageSetUpPr fitToPage="true"/>
  </sheetPr>
  <dimension ref="A1:P95"/>
  <sheetViews>
    <sheetView showFormulas="false" showGridLines="true" showRowColHeaders="true" showZeros="true" rightToLeft="false" tabSelected="false" showOutlineSymbols="true" defaultGridColor="true" view="normal" topLeftCell="A4" colorId="64" zoomScale="90" zoomScaleNormal="90" zoomScalePageLayoutView="100" workbookViewId="0">
      <selection pane="topLeft" activeCell="L28" activeCellId="0" sqref="L28"/>
    </sheetView>
  </sheetViews>
  <sheetFormatPr defaultColWidth="8.7421875" defaultRowHeight="20.25" zeroHeight="false" outlineLevelRow="0" outlineLevelCol="0"/>
  <cols>
    <col collapsed="false" customWidth="true" hidden="false" outlineLevel="0" max="1" min="1" style="1" width="32.57"/>
    <col collapsed="false" customWidth="true" hidden="false" outlineLevel="0" max="15" min="2" style="0" width="13.14"/>
    <col collapsed="false" customWidth="true" hidden="false" outlineLevel="0" max="16" min="16" style="2" width="13.14"/>
  </cols>
  <sheetData>
    <row r="1" s="6" customFormat="true" ht="21" hidden="false" customHeight="false" outlineLevel="0" collapsed="false">
      <c r="A1" s="3" t="s">
        <v>0</v>
      </c>
      <c r="B1" s="4" t="s">
        <v>1</v>
      </c>
      <c r="C1" s="4"/>
      <c r="D1" s="4" t="s">
        <v>2</v>
      </c>
      <c r="E1" s="4"/>
      <c r="F1" s="4" t="s">
        <v>3</v>
      </c>
      <c r="G1" s="4"/>
      <c r="H1" s="4" t="s">
        <v>4</v>
      </c>
      <c r="I1" s="4"/>
      <c r="J1" s="4" t="s">
        <v>5</v>
      </c>
      <c r="K1" s="4"/>
      <c r="L1" s="4" t="s">
        <v>6</v>
      </c>
      <c r="M1" s="4"/>
      <c r="N1" s="4" t="s">
        <v>7</v>
      </c>
      <c r="O1" s="4"/>
      <c r="P1" s="5" t="s">
        <v>8</v>
      </c>
    </row>
    <row r="2" s="2" customFormat="true" ht="20.25" hidden="false" customHeight="false" outlineLevel="0" collapsed="false">
      <c r="A2" s="7" t="s">
        <v>9</v>
      </c>
      <c r="B2" s="8" t="n">
        <v>41259</v>
      </c>
      <c r="C2" s="8"/>
      <c r="D2" s="8" t="n">
        <f aca="false">SUM(B2)+1</f>
        <v>41260</v>
      </c>
      <c r="E2" s="8"/>
      <c r="F2" s="8" t="n">
        <f aca="false">SUM(D2)+1</f>
        <v>41261</v>
      </c>
      <c r="G2" s="8"/>
      <c r="H2" s="8" t="n">
        <f aca="false">SUM(F2)+1</f>
        <v>41262</v>
      </c>
      <c r="I2" s="8"/>
      <c r="J2" s="8" t="n">
        <f aca="false">SUM(H2)+1</f>
        <v>41263</v>
      </c>
      <c r="K2" s="8"/>
      <c r="L2" s="8" t="n">
        <f aca="false">SUM(J2)+1</f>
        <v>41264</v>
      </c>
      <c r="M2" s="8"/>
      <c r="N2" s="8" t="n">
        <f aca="false">SUM(L2)+1</f>
        <v>41265</v>
      </c>
      <c r="O2" s="8"/>
      <c r="P2" s="9"/>
    </row>
    <row r="3" customFormat="false" ht="20.25" hidden="false" customHeight="false" outlineLevel="0" collapsed="false">
      <c r="A3" s="10"/>
      <c r="B3" s="11" t="n">
        <v>0</v>
      </c>
      <c r="C3" s="12" t="n">
        <v>0</v>
      </c>
      <c r="D3" s="11" t="n">
        <v>0.172222222222222</v>
      </c>
      <c r="E3" s="12" t="n">
        <v>0.484722222222222</v>
      </c>
      <c r="F3" s="11" t="n">
        <v>0.225</v>
      </c>
      <c r="G3" s="13" t="n">
        <v>0.5375</v>
      </c>
      <c r="H3" s="11" t="n">
        <v>0.284722222222222</v>
      </c>
      <c r="I3" s="13" t="n">
        <v>0.589583333333333</v>
      </c>
      <c r="J3" s="11" t="n">
        <v>0</v>
      </c>
      <c r="K3" s="12" t="n">
        <v>0</v>
      </c>
      <c r="L3" s="11" t="n">
        <v>0.225</v>
      </c>
      <c r="M3" s="13" t="n">
        <v>0.5375</v>
      </c>
      <c r="N3" s="14" t="n">
        <v>0.310416666666667</v>
      </c>
      <c r="O3" s="13" t="n">
        <v>0.677777777777778</v>
      </c>
      <c r="P3" s="15"/>
    </row>
    <row r="4" s="21" customFormat="true" ht="20.25" hidden="false" customHeight="false" outlineLevel="0" collapsed="false">
      <c r="A4" s="16"/>
      <c r="B4" s="17"/>
      <c r="C4" s="18"/>
      <c r="D4" s="17" t="s">
        <v>10</v>
      </c>
      <c r="E4" s="19" t="s">
        <v>11</v>
      </c>
      <c r="F4" s="17" t="s">
        <v>12</v>
      </c>
      <c r="G4" s="19" t="s">
        <v>13</v>
      </c>
      <c r="H4" s="17" t="s">
        <v>14</v>
      </c>
      <c r="I4" s="19" t="s">
        <v>15</v>
      </c>
      <c r="J4" s="17"/>
      <c r="K4" s="18"/>
      <c r="L4" s="17" t="s">
        <v>12</v>
      </c>
      <c r="M4" s="19" t="s">
        <v>13</v>
      </c>
      <c r="N4" s="17" t="s">
        <v>16</v>
      </c>
      <c r="O4" s="19" t="s">
        <v>17</v>
      </c>
      <c r="P4" s="20"/>
    </row>
    <row r="5" customFormat="false" ht="20.25" hidden="false" customHeight="false" outlineLevel="0" collapsed="false">
      <c r="A5" s="22" t="n">
        <v>1</v>
      </c>
      <c r="B5" s="23" t="s">
        <v>18</v>
      </c>
      <c r="C5" s="23"/>
      <c r="D5" s="17"/>
      <c r="E5" s="18"/>
      <c r="F5" s="23"/>
      <c r="G5" s="23"/>
      <c r="H5" s="23"/>
      <c r="I5" s="23"/>
      <c r="J5" s="23" t="s">
        <v>18</v>
      </c>
      <c r="K5" s="23"/>
      <c r="L5" s="23"/>
      <c r="M5" s="23"/>
      <c r="N5" s="23"/>
      <c r="O5" s="23"/>
      <c r="P5" s="15"/>
    </row>
    <row r="6" customFormat="false" ht="20.25" hidden="false" customHeight="false" outlineLevel="0" collapsed="false">
      <c r="A6" s="22"/>
      <c r="B6" s="23"/>
      <c r="C6" s="23"/>
      <c r="D6" s="17"/>
      <c r="E6" s="18"/>
      <c r="F6" s="23"/>
      <c r="G6" s="23"/>
      <c r="H6" s="23"/>
      <c r="I6" s="23"/>
      <c r="J6" s="23"/>
      <c r="K6" s="23"/>
      <c r="L6" s="23"/>
      <c r="M6" s="23"/>
      <c r="N6" s="23"/>
      <c r="O6" s="23"/>
      <c r="P6" s="15"/>
    </row>
    <row r="7" customFormat="false" ht="20.25" hidden="false" customHeight="false" outlineLevel="0" collapsed="false">
      <c r="A7" s="24"/>
      <c r="B7" s="25"/>
      <c r="C7" s="26" t="n">
        <f aca="false">SUM(C3-B3)</f>
        <v>0</v>
      </c>
      <c r="D7" s="25"/>
      <c r="E7" s="26" t="n">
        <f aca="false">SUM(E3-D3)</f>
        <v>0.3125</v>
      </c>
      <c r="F7" s="25"/>
      <c r="G7" s="26" t="n">
        <f aca="false">SUM(G3-F3)</f>
        <v>0.3125</v>
      </c>
      <c r="H7" s="27" t="n">
        <f aca="false">(24-G3+(H3))</f>
        <v>23.7472222222222</v>
      </c>
      <c r="I7" s="26" t="n">
        <f aca="false">SUM(I3-H3)</f>
        <v>0.304861111111111</v>
      </c>
      <c r="J7" s="25"/>
      <c r="K7" s="26" t="n">
        <f aca="false">SUM(K3-J3)</f>
        <v>0</v>
      </c>
      <c r="L7" s="25"/>
      <c r="M7" s="26" t="n">
        <f aca="false">SUM(M3-L3)</f>
        <v>0.3125</v>
      </c>
      <c r="N7" s="27" t="n">
        <f aca="false">(24-M3+(N3))</f>
        <v>23.7729166666667</v>
      </c>
      <c r="O7" s="26" t="n">
        <f aca="false">SUM(O3-N3)</f>
        <v>0.367361111111111</v>
      </c>
      <c r="P7" s="28" t="n">
        <f aca="false">SUM(C7+E7+G7+I7+K7+M7+O7)</f>
        <v>1.60972222222222</v>
      </c>
    </row>
    <row r="8" customFormat="false" ht="20.25" hidden="false" customHeight="false" outlineLevel="0" collapsed="false">
      <c r="A8" s="10"/>
      <c r="B8" s="29" t="n">
        <v>0.234722222222222</v>
      </c>
      <c r="C8" s="13" t="n">
        <v>0.577083333333333</v>
      </c>
      <c r="D8" s="29" t="n">
        <v>0.179166666666667</v>
      </c>
      <c r="E8" s="13" t="n">
        <v>0.594444444444444</v>
      </c>
      <c r="F8" s="11" t="n">
        <v>0.172222222222222</v>
      </c>
      <c r="G8" s="12" t="n">
        <v>0.484722222222222</v>
      </c>
      <c r="H8" s="29" t="n">
        <v>0.179166666666667</v>
      </c>
      <c r="I8" s="13" t="n">
        <v>0.594444444444444</v>
      </c>
      <c r="J8" s="30" t="n">
        <v>0</v>
      </c>
      <c r="K8" s="31" t="n">
        <v>0</v>
      </c>
      <c r="L8" s="29" t="n">
        <v>0</v>
      </c>
      <c r="M8" s="13" t="n">
        <v>0</v>
      </c>
      <c r="N8" s="29" t="n">
        <v>0</v>
      </c>
      <c r="O8" s="13" t="n">
        <v>0</v>
      </c>
      <c r="P8" s="28"/>
    </row>
    <row r="9" s="21" customFormat="true" ht="20.25" hidden="false" customHeight="false" outlineLevel="0" collapsed="false">
      <c r="A9" s="16"/>
      <c r="B9" s="17" t="s">
        <v>19</v>
      </c>
      <c r="C9" s="19" t="s">
        <v>20</v>
      </c>
      <c r="D9" s="17" t="s">
        <v>21</v>
      </c>
      <c r="E9" s="19" t="s">
        <v>22</v>
      </c>
      <c r="F9" s="17" t="s">
        <v>10</v>
      </c>
      <c r="G9" s="19" t="s">
        <v>11</v>
      </c>
      <c r="H9" s="17" t="s">
        <v>21</v>
      </c>
      <c r="I9" s="19" t="s">
        <v>22</v>
      </c>
      <c r="J9" s="17"/>
      <c r="K9" s="18"/>
      <c r="L9" s="17"/>
      <c r="M9" s="18"/>
      <c r="N9" s="17"/>
      <c r="O9" s="18"/>
      <c r="P9" s="32"/>
    </row>
    <row r="10" customFormat="false" ht="20.25" hidden="false" customHeight="false" outlineLevel="0" collapsed="false">
      <c r="A10" s="22" t="n">
        <v>2</v>
      </c>
      <c r="B10" s="23"/>
      <c r="C10" s="23"/>
      <c r="D10" s="23"/>
      <c r="E10" s="23"/>
      <c r="F10" s="17"/>
      <c r="G10" s="18"/>
      <c r="H10" s="23"/>
      <c r="I10" s="23"/>
      <c r="J10" s="23" t="s">
        <v>23</v>
      </c>
      <c r="K10" s="23"/>
      <c r="L10" s="23" t="s">
        <v>18</v>
      </c>
      <c r="M10" s="23"/>
      <c r="N10" s="23" t="s">
        <v>18</v>
      </c>
      <c r="O10" s="23"/>
      <c r="P10" s="28"/>
    </row>
    <row r="11" customFormat="false" ht="20.25" hidden="false" customHeight="false" outlineLevel="0" collapsed="false">
      <c r="A11" s="33"/>
      <c r="B11" s="23"/>
      <c r="C11" s="23"/>
      <c r="D11" s="23"/>
      <c r="E11" s="23"/>
      <c r="F11" s="17"/>
      <c r="G11" s="18"/>
      <c r="H11" s="23"/>
      <c r="I11" s="23"/>
      <c r="J11" s="23"/>
      <c r="K11" s="23"/>
      <c r="L11" s="23"/>
      <c r="M11" s="23"/>
      <c r="N11" s="23"/>
      <c r="O11" s="23"/>
      <c r="P11" s="28"/>
    </row>
    <row r="12" customFormat="false" ht="20.25" hidden="false" customHeight="false" outlineLevel="0" collapsed="false">
      <c r="A12" s="34"/>
      <c r="B12" s="25" t="n">
        <f aca="false">(24-O3+(B8))</f>
        <v>23.5569444444444</v>
      </c>
      <c r="C12" s="26" t="n">
        <f aca="false">SUM(C8-B8)</f>
        <v>0.342361111111111</v>
      </c>
      <c r="D12" s="27" t="n">
        <f aca="false">(24-C8+(D8))</f>
        <v>23.6020833333333</v>
      </c>
      <c r="E12" s="26" t="n">
        <f aca="false">SUM(E8-D8)</f>
        <v>0.415277777777778</v>
      </c>
      <c r="F12" s="25"/>
      <c r="G12" s="26" t="n">
        <f aca="false">SUM(G8-F8)</f>
        <v>0.3125</v>
      </c>
      <c r="H12" s="27" t="n">
        <f aca="false">(24-G8+(H8))</f>
        <v>23.6944444444444</v>
      </c>
      <c r="I12" s="26" t="n">
        <f aca="false">SUM(I8-H8)</f>
        <v>0.415277777777778</v>
      </c>
      <c r="J12" s="25"/>
      <c r="K12" s="26" t="n">
        <v>0.333333333333333</v>
      </c>
      <c r="L12" s="25"/>
      <c r="M12" s="26" t="n">
        <f aca="false">SUM(M8-L8)</f>
        <v>0</v>
      </c>
      <c r="N12" s="25"/>
      <c r="O12" s="26" t="n">
        <f aca="false">SUM(O8-N8)</f>
        <v>0</v>
      </c>
      <c r="P12" s="28" t="n">
        <f aca="false">SUM(C12+E12+G12+I12+K12+M12+O12)</f>
        <v>1.81875</v>
      </c>
    </row>
    <row r="13" customFormat="false" ht="20.25" hidden="false" customHeight="false" outlineLevel="0" collapsed="false">
      <c r="A13" s="10"/>
      <c r="B13" s="29" t="n">
        <v>0</v>
      </c>
      <c r="C13" s="13" t="n">
        <v>0</v>
      </c>
      <c r="D13" s="11" t="n">
        <v>0</v>
      </c>
      <c r="E13" s="35" t="n">
        <v>0</v>
      </c>
      <c r="F13" s="29" t="n">
        <v>0.583333333333333</v>
      </c>
      <c r="G13" s="13" t="n">
        <v>0.833333333333333</v>
      </c>
      <c r="H13" s="11" t="n">
        <v>0.620833333333333</v>
      </c>
      <c r="I13" s="35" t="n">
        <v>0.925694444444444</v>
      </c>
      <c r="J13" s="29" t="n">
        <v>0.577777777777778</v>
      </c>
      <c r="K13" s="13" t="n">
        <v>0.977083333333333</v>
      </c>
      <c r="L13" s="29" t="n">
        <v>0.804861111111111</v>
      </c>
      <c r="M13" s="36" t="n">
        <v>1.08333333333333</v>
      </c>
      <c r="N13" s="29" t="n">
        <v>0.736805555555556</v>
      </c>
      <c r="O13" s="13" t="n">
        <v>1.08611111111111</v>
      </c>
      <c r="P13" s="28"/>
    </row>
    <row r="14" s="21" customFormat="true" ht="20.25" hidden="false" customHeight="false" outlineLevel="0" collapsed="false">
      <c r="A14" s="16"/>
      <c r="B14" s="17"/>
      <c r="C14" s="18"/>
      <c r="D14" s="17"/>
      <c r="E14" s="18"/>
      <c r="F14" s="37"/>
      <c r="G14" s="38"/>
      <c r="H14" s="17" t="s">
        <v>24</v>
      </c>
      <c r="I14" s="19" t="s">
        <v>25</v>
      </c>
      <c r="J14" s="17" t="s">
        <v>26</v>
      </c>
      <c r="K14" s="19" t="s">
        <v>27</v>
      </c>
      <c r="L14" s="17" t="s">
        <v>28</v>
      </c>
      <c r="M14" s="19" t="n">
        <v>8435</v>
      </c>
      <c r="N14" s="17" t="s">
        <v>29</v>
      </c>
      <c r="O14" s="19" t="n">
        <v>8435</v>
      </c>
      <c r="P14" s="32"/>
    </row>
    <row r="15" customFormat="false" ht="20.25" hidden="false" customHeight="false" outlineLevel="0" collapsed="false">
      <c r="A15" s="22" t="n">
        <v>3</v>
      </c>
      <c r="B15" s="23" t="s">
        <v>18</v>
      </c>
      <c r="C15" s="23"/>
      <c r="D15" s="23" t="s">
        <v>18</v>
      </c>
      <c r="E15" s="23"/>
      <c r="F15" s="23" t="s">
        <v>30</v>
      </c>
      <c r="G15" s="23"/>
      <c r="H15" s="23"/>
      <c r="I15" s="23"/>
      <c r="J15" s="23"/>
      <c r="K15" s="23"/>
      <c r="L15" s="17"/>
      <c r="M15" s="17"/>
      <c r="N15" s="23"/>
      <c r="O15" s="23"/>
      <c r="P15" s="28"/>
    </row>
    <row r="16" customFormat="false" ht="20.25" hidden="false" customHeight="false" outlineLevel="0" collapsed="false">
      <c r="A16" s="22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17"/>
      <c r="M16" s="17"/>
      <c r="N16" s="23"/>
      <c r="O16" s="23"/>
      <c r="P16" s="28"/>
    </row>
    <row r="17" customFormat="false" ht="20.25" hidden="false" customHeight="false" outlineLevel="0" collapsed="false">
      <c r="A17" s="24"/>
      <c r="B17" s="25"/>
      <c r="C17" s="26" t="n">
        <f aca="false">SUM(C13-B13)</f>
        <v>0</v>
      </c>
      <c r="D17" s="25"/>
      <c r="E17" s="26" t="n">
        <f aca="false">SUM(E13-D13)</f>
        <v>0</v>
      </c>
      <c r="F17" s="25"/>
      <c r="G17" s="26" t="n">
        <f aca="false">SUM(G13-F13)</f>
        <v>0.25</v>
      </c>
      <c r="H17" s="27" t="n">
        <f aca="false">(24-G13+(H13))</f>
        <v>23.7875</v>
      </c>
      <c r="I17" s="26" t="n">
        <f aca="false">SUM(I13-H13)</f>
        <v>0.304861111111111</v>
      </c>
      <c r="J17" s="27" t="n">
        <f aca="false">(24-I13+(J13))</f>
        <v>23.6520833333333</v>
      </c>
      <c r="K17" s="26" t="n">
        <f aca="false">SUM(K13-J13)</f>
        <v>0.399305555555555</v>
      </c>
      <c r="L17" s="27" t="n">
        <f aca="false">(24-K13+(L13))</f>
        <v>23.8277777777778</v>
      </c>
      <c r="M17" s="26" t="n">
        <f aca="false">SUM(M13-L13)</f>
        <v>0.278472222222222</v>
      </c>
      <c r="N17" s="27" t="n">
        <f aca="false">(24-M13+(N13))</f>
        <v>23.6534722222222</v>
      </c>
      <c r="O17" s="26" t="n">
        <f aca="false">SUM(O13-N13)</f>
        <v>0.349305555555555</v>
      </c>
      <c r="P17" s="28" t="n">
        <f aca="false">SUM(C17+E17+G17+I17+K17+M17+O17)</f>
        <v>1.58194444444444</v>
      </c>
    </row>
    <row r="18" customFormat="false" ht="20.25" hidden="false" customHeight="false" outlineLevel="0" collapsed="false">
      <c r="A18" s="10"/>
      <c r="B18" s="29" t="n">
        <v>0.670833333333333</v>
      </c>
      <c r="C18" s="13" t="n">
        <v>0.920138888888889</v>
      </c>
      <c r="D18" s="11" t="n">
        <v>0.620833333333333</v>
      </c>
      <c r="E18" s="35" t="n">
        <v>0.925694444444444</v>
      </c>
      <c r="F18" s="11" t="n">
        <v>0</v>
      </c>
      <c r="G18" s="35" t="n">
        <v>0</v>
      </c>
      <c r="H18" s="29" t="n">
        <v>0.327777777777778</v>
      </c>
      <c r="I18" s="13" t="n">
        <v>0.718055555555556</v>
      </c>
      <c r="J18" s="11" t="n">
        <v>0.284722222222222</v>
      </c>
      <c r="K18" s="13" t="n">
        <v>0.589583333333333</v>
      </c>
      <c r="L18" s="11" t="n">
        <v>0.221527777777778</v>
      </c>
      <c r="M18" s="13" t="n">
        <v>0.55</v>
      </c>
      <c r="N18" s="11" t="n">
        <v>0</v>
      </c>
      <c r="O18" s="12" t="n">
        <v>0</v>
      </c>
      <c r="P18" s="28"/>
    </row>
    <row r="19" s="21" customFormat="true" ht="20.25" hidden="false" customHeight="false" outlineLevel="0" collapsed="false">
      <c r="A19" s="16"/>
      <c r="B19" s="17" t="s">
        <v>31</v>
      </c>
      <c r="C19" s="19" t="s">
        <v>32</v>
      </c>
      <c r="D19" s="17" t="s">
        <v>24</v>
      </c>
      <c r="E19" s="19" t="s">
        <v>25</v>
      </c>
      <c r="F19" s="17"/>
      <c r="G19" s="18"/>
      <c r="H19" s="17" t="s">
        <v>33</v>
      </c>
      <c r="I19" s="19" t="s">
        <v>34</v>
      </c>
      <c r="J19" s="17" t="s">
        <v>14</v>
      </c>
      <c r="K19" s="19" t="s">
        <v>15</v>
      </c>
      <c r="L19" s="17" t="s">
        <v>35</v>
      </c>
      <c r="M19" s="19" t="s">
        <v>36</v>
      </c>
      <c r="N19" s="17"/>
      <c r="O19" s="18"/>
      <c r="P19" s="32"/>
    </row>
    <row r="20" customFormat="false" ht="20.25" hidden="false" customHeight="false" outlineLevel="0" collapsed="false">
      <c r="A20" s="22" t="n">
        <v>4</v>
      </c>
      <c r="B20" s="23"/>
      <c r="C20" s="23"/>
      <c r="D20" s="23"/>
      <c r="E20" s="23"/>
      <c r="F20" s="23" t="s">
        <v>18</v>
      </c>
      <c r="G20" s="23"/>
      <c r="H20" s="23"/>
      <c r="I20" s="23"/>
      <c r="J20" s="23"/>
      <c r="K20" s="23"/>
      <c r="L20" s="23"/>
      <c r="M20" s="23"/>
      <c r="N20" s="23" t="s">
        <v>18</v>
      </c>
      <c r="O20" s="23"/>
      <c r="P20" s="28"/>
    </row>
    <row r="21" customFormat="false" ht="20.25" hidden="false" customHeight="false" outlineLevel="0" collapsed="false">
      <c r="A21" s="3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8"/>
    </row>
    <row r="22" customFormat="false" ht="20.25" hidden="false" customHeight="false" outlineLevel="0" collapsed="false">
      <c r="A22" s="34"/>
      <c r="B22" s="25" t="n">
        <f aca="false">(24-O13+(B18))</f>
        <v>23.5847222222222</v>
      </c>
      <c r="C22" s="26" t="n">
        <f aca="false">SUM(C18-B18)</f>
        <v>0.249305555555555</v>
      </c>
      <c r="D22" s="27" t="n">
        <f aca="false">(24-C18+(D18))</f>
        <v>23.7006944444444</v>
      </c>
      <c r="E22" s="26" t="n">
        <f aca="false">SUM(E18-D18)</f>
        <v>0.304861111111111</v>
      </c>
      <c r="F22" s="25"/>
      <c r="G22" s="26" t="n">
        <f aca="false">SUM(G18-F18)</f>
        <v>0</v>
      </c>
      <c r="H22" s="25"/>
      <c r="I22" s="26" t="n">
        <f aca="false">SUM(I18-H18)</f>
        <v>0.390277777777778</v>
      </c>
      <c r="J22" s="27" t="n">
        <f aca="false">(24-I18+(J18))</f>
        <v>23.5666666666667</v>
      </c>
      <c r="K22" s="26" t="n">
        <f aca="false">SUM(K18-J18)</f>
        <v>0.304861111111111</v>
      </c>
      <c r="L22" s="27" t="n">
        <f aca="false">(24-K18+(L18))</f>
        <v>23.6319444444444</v>
      </c>
      <c r="M22" s="26" t="n">
        <f aca="false">SUM(M18-L18)</f>
        <v>0.328472222222222</v>
      </c>
      <c r="N22" s="25"/>
      <c r="O22" s="26" t="n">
        <f aca="false">SUM(O18-N18)</f>
        <v>0</v>
      </c>
      <c r="P22" s="28" t="n">
        <f aca="false">SUM(C22+E22+G22+I22+K22+M22+O22)</f>
        <v>1.57777777777778</v>
      </c>
    </row>
    <row r="23" customFormat="false" ht="20.25" hidden="false" customHeight="false" outlineLevel="0" collapsed="false">
      <c r="A23" s="10"/>
      <c r="B23" s="29" t="n">
        <v>0</v>
      </c>
      <c r="C23" s="13" t="n">
        <v>0</v>
      </c>
      <c r="D23" s="29" t="n">
        <v>0.327777777777778</v>
      </c>
      <c r="E23" s="13" t="n">
        <v>0.718055555555556</v>
      </c>
      <c r="F23" s="39" t="n">
        <v>0.303472222222222</v>
      </c>
      <c r="G23" s="13" t="n">
        <v>0.629166666666667</v>
      </c>
      <c r="H23" s="29" t="n">
        <v>0</v>
      </c>
      <c r="I23" s="13" t="n">
        <v>0</v>
      </c>
      <c r="J23" s="29" t="n">
        <v>0.366666666666667</v>
      </c>
      <c r="K23" s="13" t="n">
        <v>0.7</v>
      </c>
      <c r="L23" s="11" t="n">
        <v>0.284722222222222</v>
      </c>
      <c r="M23" s="13" t="n">
        <v>0.589583333333333</v>
      </c>
      <c r="N23" s="11" t="n">
        <v>0.470138888888889</v>
      </c>
      <c r="O23" s="12" t="n">
        <v>0.734027777777778</v>
      </c>
      <c r="P23" s="28"/>
    </row>
    <row r="24" s="21" customFormat="true" ht="20.25" hidden="false" customHeight="false" outlineLevel="0" collapsed="false">
      <c r="A24" s="16"/>
      <c r="B24" s="17"/>
      <c r="C24" s="18"/>
      <c r="D24" s="17" t="s">
        <v>33</v>
      </c>
      <c r="E24" s="19" t="s">
        <v>34</v>
      </c>
      <c r="F24" s="17" t="s">
        <v>37</v>
      </c>
      <c r="G24" s="19" t="s">
        <v>38</v>
      </c>
      <c r="H24" s="17"/>
      <c r="I24" s="18"/>
      <c r="J24" s="37"/>
      <c r="K24" s="38"/>
      <c r="L24" s="17" t="s">
        <v>14</v>
      </c>
      <c r="M24" s="19" t="s">
        <v>15</v>
      </c>
      <c r="N24" s="17" t="s">
        <v>39</v>
      </c>
      <c r="O24" s="19" t="s">
        <v>40</v>
      </c>
      <c r="P24" s="32"/>
    </row>
    <row r="25" customFormat="false" ht="20.25" hidden="false" customHeight="false" outlineLevel="0" collapsed="false">
      <c r="A25" s="22" t="n">
        <v>5</v>
      </c>
      <c r="B25" s="23" t="s">
        <v>18</v>
      </c>
      <c r="C25" s="23"/>
      <c r="D25" s="23"/>
      <c r="E25" s="23"/>
      <c r="F25" s="17"/>
      <c r="G25" s="18"/>
      <c r="H25" s="23" t="s">
        <v>18</v>
      </c>
      <c r="I25" s="23"/>
      <c r="J25" s="23" t="s">
        <v>30</v>
      </c>
      <c r="K25" s="23"/>
      <c r="L25" s="23"/>
      <c r="M25" s="23"/>
      <c r="N25" s="40"/>
      <c r="O25" s="40"/>
      <c r="P25" s="28"/>
    </row>
    <row r="26" customFormat="false" ht="20.25" hidden="false" customHeight="false" outlineLevel="0" collapsed="false">
      <c r="A26" s="22"/>
      <c r="B26" s="41"/>
      <c r="C26" s="41"/>
      <c r="D26" s="23"/>
      <c r="E26" s="23"/>
      <c r="F26" s="17"/>
      <c r="G26" s="18"/>
      <c r="H26" s="23"/>
      <c r="I26" s="23"/>
      <c r="J26" s="23"/>
      <c r="K26" s="23"/>
      <c r="L26" s="23"/>
      <c r="M26" s="23"/>
      <c r="N26" s="42"/>
      <c r="O26" s="43"/>
      <c r="P26" s="28"/>
    </row>
    <row r="27" customFormat="false" ht="20.25" hidden="false" customHeight="false" outlineLevel="0" collapsed="false">
      <c r="A27" s="24"/>
      <c r="B27" s="44"/>
      <c r="C27" s="26" t="n">
        <f aca="false">SUM(C23-B23)</f>
        <v>0</v>
      </c>
      <c r="D27" s="25"/>
      <c r="E27" s="26" t="n">
        <f aca="false">SUM(E23-D23)</f>
        <v>0.390277777777778</v>
      </c>
      <c r="F27" s="25"/>
      <c r="G27" s="26" t="n">
        <f aca="false">SUM(G23-F23)</f>
        <v>0.325694444444444</v>
      </c>
      <c r="H27" s="27"/>
      <c r="I27" s="26"/>
      <c r="J27" s="27" t="n">
        <f aca="false">(24-I23+(J23))</f>
        <v>24.3666666666667</v>
      </c>
      <c r="K27" s="26" t="n">
        <f aca="false">SUM(K23-J23)</f>
        <v>0.333333333333333</v>
      </c>
      <c r="L27" s="27" t="n">
        <f aca="false">(24-K23+(L23))</f>
        <v>23.5847222222222</v>
      </c>
      <c r="M27" s="26" t="n">
        <f aca="false">SUM(M23-L23)</f>
        <v>0.304861111111111</v>
      </c>
      <c r="N27" s="27" t="n">
        <f aca="false">(24-M23+(N23))</f>
        <v>23.8805555555556</v>
      </c>
      <c r="O27" s="26" t="n">
        <f aca="false">SUM(O23-N23)</f>
        <v>0.263888888888889</v>
      </c>
      <c r="P27" s="28" t="n">
        <f aca="false">SUM(C27+E27+G27+I27+K27+M27+O27)</f>
        <v>1.61805555555556</v>
      </c>
    </row>
    <row r="28" customFormat="false" ht="20.25" hidden="false" customHeight="false" outlineLevel="0" collapsed="false">
      <c r="A28" s="10"/>
      <c r="B28" s="29" t="n">
        <v>0.524305555555556</v>
      </c>
      <c r="C28" s="13" t="n">
        <v>0.83125</v>
      </c>
      <c r="D28" s="29" t="n">
        <v>0</v>
      </c>
      <c r="E28" s="13" t="n">
        <v>0</v>
      </c>
      <c r="F28" s="11" t="n">
        <v>0.221527777777778</v>
      </c>
      <c r="G28" s="13" t="n">
        <v>0.55</v>
      </c>
      <c r="H28" s="11" t="n">
        <v>0.172222222222222</v>
      </c>
      <c r="I28" s="12" t="n">
        <v>0.484722222222222</v>
      </c>
      <c r="J28" s="11" t="n">
        <v>0.225</v>
      </c>
      <c r="K28" s="13" t="n">
        <v>0.5375</v>
      </c>
      <c r="L28" s="39" t="n">
        <v>0.303472222222222</v>
      </c>
      <c r="M28" s="13" t="n">
        <v>0.629166666666667</v>
      </c>
      <c r="N28" s="29" t="n">
        <v>0</v>
      </c>
      <c r="O28" s="13" t="n">
        <v>0</v>
      </c>
      <c r="P28" s="28"/>
    </row>
    <row r="29" s="21" customFormat="true" ht="20.25" hidden="false" customHeight="false" outlineLevel="0" collapsed="false">
      <c r="A29" s="16"/>
      <c r="B29" s="17" t="s">
        <v>41</v>
      </c>
      <c r="C29" s="19" t="s">
        <v>42</v>
      </c>
      <c r="D29" s="17"/>
      <c r="E29" s="18"/>
      <c r="F29" s="17" t="s">
        <v>35</v>
      </c>
      <c r="G29" s="19" t="s">
        <v>36</v>
      </c>
      <c r="H29" s="17" t="s">
        <v>10</v>
      </c>
      <c r="I29" s="19" t="s">
        <v>11</v>
      </c>
      <c r="J29" s="17" t="s">
        <v>12</v>
      </c>
      <c r="K29" s="19" t="s">
        <v>13</v>
      </c>
      <c r="L29" s="17" t="s">
        <v>37</v>
      </c>
      <c r="M29" s="19" t="s">
        <v>38</v>
      </c>
      <c r="N29" s="17"/>
      <c r="O29" s="18"/>
      <c r="P29" s="32"/>
    </row>
    <row r="30" customFormat="false" ht="20.25" hidden="false" customHeight="false" outlineLevel="0" collapsed="false">
      <c r="A30" s="22" t="n">
        <v>6</v>
      </c>
      <c r="B30" s="23"/>
      <c r="C30" s="23"/>
      <c r="D30" s="23" t="s">
        <v>18</v>
      </c>
      <c r="E30" s="23"/>
      <c r="F30" s="23"/>
      <c r="G30" s="23"/>
      <c r="H30" s="17"/>
      <c r="I30" s="18"/>
      <c r="J30" s="23"/>
      <c r="K30" s="23"/>
      <c r="L30" s="17"/>
      <c r="M30" s="18"/>
      <c r="N30" s="23" t="s">
        <v>18</v>
      </c>
      <c r="O30" s="23"/>
      <c r="P30" s="28"/>
    </row>
    <row r="31" customFormat="false" ht="20.25" hidden="false" customHeight="false" outlineLevel="0" collapsed="false">
      <c r="A31" s="33"/>
      <c r="B31" s="23"/>
      <c r="C31" s="23"/>
      <c r="D31" s="23"/>
      <c r="E31" s="23"/>
      <c r="F31" s="23"/>
      <c r="G31" s="23"/>
      <c r="H31" s="17"/>
      <c r="I31" s="18"/>
      <c r="J31" s="23"/>
      <c r="K31" s="23"/>
      <c r="L31" s="17"/>
      <c r="M31" s="18"/>
      <c r="N31" s="18"/>
      <c r="O31" s="18"/>
      <c r="P31" s="28"/>
    </row>
    <row r="32" customFormat="false" ht="20.25" hidden="false" customHeight="false" outlineLevel="0" collapsed="false">
      <c r="A32" s="34"/>
      <c r="B32" s="25" t="n">
        <f aca="false">(24-O23+(B28))</f>
        <v>23.7902777777778</v>
      </c>
      <c r="C32" s="26" t="n">
        <f aca="false">SUM(C28-B28)</f>
        <v>0.306944444444444</v>
      </c>
      <c r="D32" s="25"/>
      <c r="E32" s="26" t="n">
        <f aca="false">SUM(E28-D28)</f>
        <v>0</v>
      </c>
      <c r="F32" s="25"/>
      <c r="G32" s="26" t="n">
        <f aca="false">SUM(G28-F28)</f>
        <v>0.328472222222222</v>
      </c>
      <c r="H32" s="25"/>
      <c r="I32" s="26" t="n">
        <f aca="false">SUM(I28-H28)</f>
        <v>0.3125</v>
      </c>
      <c r="J32" s="25"/>
      <c r="K32" s="26" t="n">
        <f aca="false">SUM(K28-J28)</f>
        <v>0.3125</v>
      </c>
      <c r="L32" s="25"/>
      <c r="M32" s="26" t="n">
        <f aca="false">SUM(M28-L28)</f>
        <v>0.325694444444444</v>
      </c>
      <c r="N32" s="27" t="n">
        <f aca="false">(24-M28+(N28))</f>
        <v>23.3708333333333</v>
      </c>
      <c r="O32" s="26" t="n">
        <f aca="false">SUM(O28-N28)</f>
        <v>0</v>
      </c>
      <c r="P32" s="28" t="n">
        <f aca="false">SUM(C32+E32+G32+I32+K32+M32+O32)</f>
        <v>1.58611111111111</v>
      </c>
    </row>
    <row r="33" customFormat="false" ht="20.25" hidden="false" customHeight="false" outlineLevel="0" collapsed="false">
      <c r="A33" s="10"/>
      <c r="B33" s="29" t="n">
        <v>0</v>
      </c>
      <c r="C33" s="13" t="n">
        <v>0</v>
      </c>
      <c r="D33" s="29" t="n">
        <v>0.577777777777778</v>
      </c>
      <c r="E33" s="13" t="n">
        <v>0.977083333333333</v>
      </c>
      <c r="F33" s="11" t="n">
        <v>0.699305555555556</v>
      </c>
      <c r="G33" s="13" t="n">
        <v>1.01388888888889</v>
      </c>
      <c r="H33" s="11" t="n">
        <v>0</v>
      </c>
      <c r="I33" s="35" t="n">
        <v>0</v>
      </c>
      <c r="J33" s="11" t="n">
        <v>0.699305555555556</v>
      </c>
      <c r="K33" s="13" t="n">
        <v>1.01388888888889</v>
      </c>
      <c r="L33" s="11" t="n">
        <v>0.534027777777778</v>
      </c>
      <c r="M33" s="13" t="n">
        <v>0.806944444444444</v>
      </c>
      <c r="N33" s="36" t="n">
        <v>0.290277777777778</v>
      </c>
      <c r="O33" s="13" t="n">
        <v>0.622222222222222</v>
      </c>
      <c r="P33" s="28"/>
    </row>
    <row r="34" s="21" customFormat="true" ht="20.25" hidden="false" customHeight="false" outlineLevel="0" collapsed="false">
      <c r="A34" s="16"/>
      <c r="B34" s="17"/>
      <c r="C34" s="18"/>
      <c r="D34" s="17" t="s">
        <v>26</v>
      </c>
      <c r="E34" s="19" t="s">
        <v>27</v>
      </c>
      <c r="F34" s="17" t="s">
        <v>43</v>
      </c>
      <c r="G34" s="19" t="s">
        <v>44</v>
      </c>
      <c r="H34" s="17"/>
      <c r="I34" s="18"/>
      <c r="J34" s="17" t="s">
        <v>43</v>
      </c>
      <c r="K34" s="19" t="s">
        <v>44</v>
      </c>
      <c r="L34" s="17" t="s">
        <v>45</v>
      </c>
      <c r="M34" s="19" t="s">
        <v>46</v>
      </c>
      <c r="N34" s="17" t="s">
        <v>47</v>
      </c>
      <c r="O34" s="19" t="s">
        <v>48</v>
      </c>
      <c r="P34" s="32"/>
    </row>
    <row r="35" customFormat="false" ht="20.25" hidden="false" customHeight="false" outlineLevel="0" collapsed="false">
      <c r="A35" s="22" t="n">
        <v>7</v>
      </c>
      <c r="B35" s="23" t="s">
        <v>18</v>
      </c>
      <c r="C35" s="23"/>
      <c r="D35" s="23"/>
      <c r="E35" s="23"/>
      <c r="F35" s="45"/>
      <c r="G35" s="45"/>
      <c r="H35" s="23" t="s">
        <v>18</v>
      </c>
      <c r="I35" s="23"/>
      <c r="J35" s="45"/>
      <c r="K35" s="45"/>
      <c r="L35" s="23"/>
      <c r="M35" s="23"/>
      <c r="N35" s="18"/>
      <c r="O35" s="18"/>
      <c r="P35" s="28"/>
    </row>
    <row r="36" customFormat="false" ht="20.25" hidden="false" customHeight="false" outlineLevel="0" collapsed="false">
      <c r="A36" s="22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8"/>
    </row>
    <row r="37" customFormat="false" ht="20.25" hidden="false" customHeight="false" outlineLevel="0" collapsed="false">
      <c r="A37" s="24"/>
      <c r="B37" s="25" t="n">
        <f aca="false">(24-O28+(B33))</f>
        <v>24</v>
      </c>
      <c r="C37" s="26" t="n">
        <f aca="false">SUM(C33-B33)</f>
        <v>0</v>
      </c>
      <c r="D37" s="27" t="n">
        <f aca="false">(24-C33+(D33))</f>
        <v>24.5777777777778</v>
      </c>
      <c r="E37" s="26" t="n">
        <f aca="false">SUM(E33-D33)</f>
        <v>0.399305555555555</v>
      </c>
      <c r="F37" s="25"/>
      <c r="G37" s="26" t="n">
        <f aca="false">SUM(G33-F33)</f>
        <v>0.314583333333333</v>
      </c>
      <c r="H37" s="25"/>
      <c r="I37" s="26" t="n">
        <f aca="false">SUM(I33-H33)</f>
        <v>0</v>
      </c>
      <c r="J37" s="25"/>
      <c r="K37" s="26" t="n">
        <f aca="false">SUM(K33-J33)</f>
        <v>0.314583333333333</v>
      </c>
      <c r="L37" s="27" t="n">
        <f aca="false">(24-K33+(L33))</f>
        <v>23.5201388888889</v>
      </c>
      <c r="M37" s="26" t="n">
        <f aca="false">SUM(M33-L33)</f>
        <v>0.272916666666667</v>
      </c>
      <c r="N37" s="27" t="n">
        <f aca="false">(24-M33+(N33))</f>
        <v>23.4833333333333</v>
      </c>
      <c r="O37" s="26" t="n">
        <f aca="false">SUM(O33-N33)</f>
        <v>0.331944444444444</v>
      </c>
      <c r="P37" s="28" t="n">
        <f aca="false">SUM(C37+E37+G37+I37+K37+M37+O37)</f>
        <v>1.63333333333333</v>
      </c>
    </row>
    <row r="38" customFormat="false" ht="20.25" hidden="false" customHeight="false" outlineLevel="0" collapsed="false">
      <c r="A38" s="10"/>
      <c r="B38" s="11" t="n">
        <v>0.470138888888889</v>
      </c>
      <c r="C38" s="12" t="n">
        <v>0.734027777777778</v>
      </c>
      <c r="D38" s="11" t="n">
        <v>0.284722222222222</v>
      </c>
      <c r="E38" s="13" t="n">
        <v>0.589583333333333</v>
      </c>
      <c r="F38" s="11" t="n">
        <v>0</v>
      </c>
      <c r="G38" s="35" t="n">
        <v>0</v>
      </c>
      <c r="H38" s="30" t="n">
        <v>0</v>
      </c>
      <c r="I38" s="31" t="n">
        <v>0</v>
      </c>
      <c r="J38" s="39" t="n">
        <v>0.303472222222222</v>
      </c>
      <c r="K38" s="13" t="n">
        <v>0.629166666666667</v>
      </c>
      <c r="L38" s="11" t="n">
        <v>0.172222222222222</v>
      </c>
      <c r="M38" s="12" t="n">
        <v>0.484722222222222</v>
      </c>
      <c r="N38" s="29" t="n">
        <v>0</v>
      </c>
      <c r="O38" s="13" t="n">
        <v>0</v>
      </c>
      <c r="P38" s="28"/>
    </row>
    <row r="39" s="21" customFormat="true" ht="20.25" hidden="false" customHeight="false" outlineLevel="0" collapsed="false">
      <c r="A39" s="16"/>
      <c r="B39" s="17" t="s">
        <v>49</v>
      </c>
      <c r="C39" s="19" t="s">
        <v>40</v>
      </c>
      <c r="D39" s="17" t="s">
        <v>14</v>
      </c>
      <c r="E39" s="19" t="s">
        <v>15</v>
      </c>
      <c r="F39" s="17"/>
      <c r="G39" s="18"/>
      <c r="H39" s="17"/>
      <c r="I39" s="18"/>
      <c r="J39" s="17" t="s">
        <v>37</v>
      </c>
      <c r="K39" s="19" t="s">
        <v>38</v>
      </c>
      <c r="L39" s="17" t="s">
        <v>10</v>
      </c>
      <c r="M39" s="19" t="s">
        <v>11</v>
      </c>
      <c r="N39" s="17"/>
      <c r="O39" s="18"/>
      <c r="P39" s="32"/>
    </row>
    <row r="40" customFormat="false" ht="20.25" hidden="false" customHeight="false" outlineLevel="0" collapsed="false">
      <c r="A40" s="22" t="n">
        <v>8</v>
      </c>
      <c r="B40" s="40"/>
      <c r="C40" s="40"/>
      <c r="D40" s="23"/>
      <c r="E40" s="23"/>
      <c r="F40" s="23" t="s">
        <v>18</v>
      </c>
      <c r="G40" s="23"/>
      <c r="H40" s="23" t="s">
        <v>23</v>
      </c>
      <c r="I40" s="23"/>
      <c r="J40" s="17"/>
      <c r="K40" s="18"/>
      <c r="L40" s="17"/>
      <c r="M40" s="18"/>
      <c r="N40" s="23" t="s">
        <v>18</v>
      </c>
      <c r="O40" s="23"/>
      <c r="P40" s="28"/>
    </row>
    <row r="41" customFormat="false" ht="20.25" hidden="false" customHeight="false" outlineLevel="0" collapsed="false">
      <c r="A41" s="33"/>
      <c r="B41" s="23"/>
      <c r="C41" s="23"/>
      <c r="D41" s="23"/>
      <c r="E41" s="23"/>
      <c r="F41" s="23"/>
      <c r="G41" s="23"/>
      <c r="H41" s="23"/>
      <c r="I41" s="23"/>
      <c r="J41" s="17"/>
      <c r="K41" s="18"/>
      <c r="L41" s="17"/>
      <c r="M41" s="18"/>
      <c r="N41" s="23"/>
      <c r="O41" s="23"/>
      <c r="P41" s="28"/>
    </row>
    <row r="42" customFormat="false" ht="20.25" hidden="false" customHeight="false" outlineLevel="0" collapsed="false">
      <c r="A42" s="34"/>
      <c r="B42" s="25"/>
      <c r="C42" s="26" t="n">
        <f aca="false">SUM(C38-B38)</f>
        <v>0.263888888888889</v>
      </c>
      <c r="D42" s="27" t="n">
        <f aca="false">(24-C38+(D38))</f>
        <v>23.5506944444444</v>
      </c>
      <c r="E42" s="26" t="n">
        <f aca="false">SUM(E38-D38)</f>
        <v>0.304861111111111</v>
      </c>
      <c r="F42" s="27" t="n">
        <f aca="false">(24-E38+(F38))</f>
        <v>23.4104166666667</v>
      </c>
      <c r="G42" s="26" t="n">
        <f aca="false">SUM(G38-F38)</f>
        <v>0</v>
      </c>
      <c r="H42" s="25"/>
      <c r="I42" s="26" t="n">
        <v>0.333333333333333</v>
      </c>
      <c r="J42" s="25"/>
      <c r="K42" s="26" t="n">
        <f aca="false">SUM(K38-J38)</f>
        <v>0.325694444444444</v>
      </c>
      <c r="L42" s="25"/>
      <c r="M42" s="26" t="n">
        <f aca="false">SUM(M38-L38)</f>
        <v>0.3125</v>
      </c>
      <c r="N42" s="25"/>
      <c r="O42" s="26" t="n">
        <f aca="false">SUM(O38-N38)</f>
        <v>0</v>
      </c>
      <c r="P42" s="28" t="n">
        <f aca="false">SUM(C42+E42+G42+I42+K42+M42+O42)</f>
        <v>1.54027777777778</v>
      </c>
    </row>
    <row r="43" customFormat="false" ht="20.25" hidden="false" customHeight="false" outlineLevel="0" collapsed="false">
      <c r="A43" s="10"/>
      <c r="B43" s="29" t="n">
        <v>0</v>
      </c>
      <c r="C43" s="13" t="n">
        <v>0</v>
      </c>
      <c r="D43" s="11" t="n">
        <v>0.699305555555556</v>
      </c>
      <c r="E43" s="13" t="n">
        <v>1.01388888888889</v>
      </c>
      <c r="F43" s="29" t="n">
        <v>0.577777777777778</v>
      </c>
      <c r="G43" s="13" t="n">
        <v>0.977083333333333</v>
      </c>
      <c r="H43" s="11" t="n">
        <v>0.534027777777778</v>
      </c>
      <c r="I43" s="13" t="n">
        <v>0.867361111111111</v>
      </c>
      <c r="J43" s="29" t="n">
        <v>0</v>
      </c>
      <c r="K43" s="36" t="n">
        <v>0</v>
      </c>
      <c r="L43" s="11" t="n">
        <v>0.699305555555556</v>
      </c>
      <c r="M43" s="13" t="n">
        <v>1.01388888888889</v>
      </c>
      <c r="N43" s="29" t="n">
        <v>0.524305555555556</v>
      </c>
      <c r="O43" s="13" t="n">
        <v>0.920138888888889</v>
      </c>
      <c r="P43" s="28"/>
    </row>
    <row r="44" s="21" customFormat="true" ht="20.25" hidden="false" customHeight="false" outlineLevel="0" collapsed="false">
      <c r="A44" s="16"/>
      <c r="B44" s="17"/>
      <c r="C44" s="18"/>
      <c r="D44" s="17" t="s">
        <v>43</v>
      </c>
      <c r="E44" s="19" t="s">
        <v>44</v>
      </c>
      <c r="F44" s="17" t="s">
        <v>26</v>
      </c>
      <c r="G44" s="19"/>
      <c r="H44" s="17" t="s">
        <v>50</v>
      </c>
      <c r="I44" s="19" t="s">
        <v>42</v>
      </c>
      <c r="J44" s="17"/>
      <c r="K44" s="18"/>
      <c r="L44" s="17" t="s">
        <v>43</v>
      </c>
      <c r="M44" s="19" t="s">
        <v>44</v>
      </c>
      <c r="N44" s="17" t="s">
        <v>51</v>
      </c>
      <c r="O44" s="19" t="s">
        <v>52</v>
      </c>
      <c r="P44" s="32"/>
    </row>
    <row r="45" customFormat="false" ht="20.25" hidden="false" customHeight="false" outlineLevel="0" collapsed="false">
      <c r="A45" s="22" t="n">
        <v>9</v>
      </c>
      <c r="B45" s="23" t="s">
        <v>18</v>
      </c>
      <c r="C45" s="23"/>
      <c r="D45" s="45"/>
      <c r="E45" s="45"/>
      <c r="F45" s="46" t="s">
        <v>53</v>
      </c>
      <c r="G45" s="46"/>
      <c r="H45" s="23"/>
      <c r="I45" s="23"/>
      <c r="J45" s="23" t="s">
        <v>18</v>
      </c>
      <c r="K45" s="23"/>
      <c r="L45" s="45"/>
      <c r="M45" s="45"/>
      <c r="N45" s="23"/>
      <c r="O45" s="23"/>
      <c r="P45" s="28"/>
    </row>
    <row r="46" customFormat="false" ht="20.25" hidden="false" customHeight="false" outlineLevel="0" collapsed="false">
      <c r="A46" s="22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8"/>
    </row>
    <row r="47" customFormat="false" ht="20.25" hidden="false" customHeight="false" outlineLevel="0" collapsed="false">
      <c r="A47" s="24"/>
      <c r="B47" s="25"/>
      <c r="C47" s="26" t="n">
        <f aca="false">SUM(C43-B43)</f>
        <v>0</v>
      </c>
      <c r="D47" s="25"/>
      <c r="E47" s="26" t="n">
        <f aca="false">SUM(E43-D43)</f>
        <v>0.314583333333333</v>
      </c>
      <c r="F47" s="27" t="n">
        <f aca="false">(24-E43+(F43))</f>
        <v>23.5638888888889</v>
      </c>
      <c r="G47" s="26" t="n">
        <f aca="false">SUM(G43-F43)</f>
        <v>0.399305555555555</v>
      </c>
      <c r="H47" s="27" t="n">
        <f aca="false">(24-G43+(H43))</f>
        <v>23.5569444444444</v>
      </c>
      <c r="I47" s="26" t="n">
        <f aca="false">SUM(I43-H43)</f>
        <v>0.333333333333333</v>
      </c>
      <c r="J47" s="25"/>
      <c r="K47" s="26" t="n">
        <f aca="false">SUM(K43-J43)</f>
        <v>0</v>
      </c>
      <c r="L47" s="25"/>
      <c r="M47" s="26" t="n">
        <f aca="false">SUM(M43-L43)</f>
        <v>0.314583333333333</v>
      </c>
      <c r="N47" s="27" t="n">
        <f aca="false">(24-M43+(N43))</f>
        <v>23.5104166666667</v>
      </c>
      <c r="O47" s="26" t="n">
        <f aca="false">SUM(O43-N43)</f>
        <v>0.395833333333333</v>
      </c>
      <c r="P47" s="28" t="n">
        <f aca="false">SUM(C47+E47+G47+I47+K47+M47+O47)</f>
        <v>1.75763888888889</v>
      </c>
    </row>
    <row r="48" customFormat="false" ht="20.25" hidden="false" customHeight="false" outlineLevel="0" collapsed="false">
      <c r="A48" s="10"/>
      <c r="B48" s="29" t="n">
        <v>0.7</v>
      </c>
      <c r="C48" s="13" t="n">
        <v>1.00277777777778</v>
      </c>
      <c r="D48" s="11" t="n">
        <v>0.534027777777778</v>
      </c>
      <c r="E48" s="13" t="n">
        <v>0.806944444444444</v>
      </c>
      <c r="F48" s="29" t="n">
        <v>0.327777777777778</v>
      </c>
      <c r="G48" s="13" t="n">
        <v>0.718055555555556</v>
      </c>
      <c r="H48" s="11" t="n">
        <v>0.221527777777778</v>
      </c>
      <c r="I48" s="13" t="n">
        <v>0.55</v>
      </c>
      <c r="J48" s="29" t="n">
        <v>0.179166666666667</v>
      </c>
      <c r="K48" s="13" t="n">
        <v>0.594444444444444</v>
      </c>
      <c r="L48" s="30" t="n">
        <v>0</v>
      </c>
      <c r="M48" s="31" t="n">
        <v>0</v>
      </c>
      <c r="N48" s="11" t="n">
        <v>0</v>
      </c>
      <c r="O48" s="35" t="n">
        <v>0</v>
      </c>
      <c r="P48" s="47"/>
    </row>
    <row r="49" s="21" customFormat="true" ht="20.25" hidden="false" customHeight="false" outlineLevel="0" collapsed="false">
      <c r="A49" s="16"/>
      <c r="B49" s="17" t="s">
        <v>54</v>
      </c>
      <c r="C49" s="19" t="s">
        <v>55</v>
      </c>
      <c r="D49" s="17" t="s">
        <v>45</v>
      </c>
      <c r="E49" s="19" t="s">
        <v>46</v>
      </c>
      <c r="F49" s="17" t="s">
        <v>33</v>
      </c>
      <c r="G49" s="19" t="s">
        <v>34</v>
      </c>
      <c r="H49" s="17" t="s">
        <v>35</v>
      </c>
      <c r="I49" s="19" t="s">
        <v>36</v>
      </c>
      <c r="J49" s="17" t="s">
        <v>21</v>
      </c>
      <c r="K49" s="19" t="s">
        <v>22</v>
      </c>
      <c r="L49" s="17"/>
      <c r="M49" s="18"/>
      <c r="N49" s="17"/>
      <c r="O49" s="18"/>
      <c r="P49" s="32"/>
    </row>
    <row r="50" customFormat="false" ht="20.25" hidden="false" customHeight="false" outlineLevel="0" collapsed="false">
      <c r="A50" s="22" t="n">
        <v>10</v>
      </c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 t="s">
        <v>18</v>
      </c>
      <c r="M50" s="23"/>
      <c r="N50" s="23" t="s">
        <v>18</v>
      </c>
      <c r="O50" s="23"/>
      <c r="P50" s="28"/>
    </row>
    <row r="51" customFormat="false" ht="20.25" hidden="false" customHeight="false" outlineLevel="0" collapsed="false">
      <c r="A51" s="3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8"/>
    </row>
    <row r="52" customFormat="false" ht="20.25" hidden="false" customHeight="false" outlineLevel="0" collapsed="false">
      <c r="A52" s="34"/>
      <c r="B52" s="25" t="n">
        <f aca="false">(24-O43+(B48))</f>
        <v>23.7798611111111</v>
      </c>
      <c r="C52" s="26" t="n">
        <f aca="false">SUM(C48-B48)</f>
        <v>0.302777777777778</v>
      </c>
      <c r="D52" s="27" t="n">
        <f aca="false">(24-C48+(D48))</f>
        <v>23.53125</v>
      </c>
      <c r="E52" s="26" t="n">
        <f aca="false">SUM(E48-D48)</f>
        <v>0.272916666666667</v>
      </c>
      <c r="F52" s="25"/>
      <c r="G52" s="26" t="n">
        <f aca="false">SUM(G48-F48)</f>
        <v>0.390277777777778</v>
      </c>
      <c r="H52" s="27" t="n">
        <f aca="false">(24-G48+(H48))</f>
        <v>23.5034722222222</v>
      </c>
      <c r="I52" s="26" t="n">
        <f aca="false">SUM(I48-H48)</f>
        <v>0.328472222222222</v>
      </c>
      <c r="J52" s="27" t="n">
        <f aca="false">(24-I48+(J48))</f>
        <v>23.6291666666667</v>
      </c>
      <c r="K52" s="26" t="n">
        <f aca="false">SUM(K48-J48)</f>
        <v>0.415277777777778</v>
      </c>
      <c r="L52" s="25"/>
      <c r="M52" s="26" t="n">
        <f aca="false">SUM(M48-L48)</f>
        <v>0</v>
      </c>
      <c r="N52" s="25"/>
      <c r="O52" s="26" t="n">
        <f aca="false">SUM(O48-N48)</f>
        <v>0</v>
      </c>
      <c r="P52" s="28" t="n">
        <f aca="false">SUM(C52+E52+G52+I52+K52+M52+O52)</f>
        <v>1.70972222222222</v>
      </c>
    </row>
    <row r="53" customFormat="false" ht="20.25" hidden="false" customHeight="false" outlineLevel="0" collapsed="false">
      <c r="A53" s="10"/>
      <c r="B53" s="29" t="n">
        <v>0</v>
      </c>
      <c r="C53" s="13" t="n">
        <v>0</v>
      </c>
      <c r="D53" s="29" t="n">
        <v>0</v>
      </c>
      <c r="E53" s="13" t="n">
        <v>0</v>
      </c>
      <c r="F53" s="30" t="n">
        <v>0</v>
      </c>
      <c r="G53" s="31" t="n">
        <v>0</v>
      </c>
      <c r="H53" s="11" t="n">
        <v>0.699305555555556</v>
      </c>
      <c r="I53" s="13" t="n">
        <v>1.01388888888889</v>
      </c>
      <c r="J53" s="11" t="n">
        <v>0.620833333333333</v>
      </c>
      <c r="K53" s="35" t="n">
        <v>0.925694444444444</v>
      </c>
      <c r="L53" s="29" t="n">
        <v>0.577777777777778</v>
      </c>
      <c r="M53" s="13" t="n">
        <v>0.977083333333333</v>
      </c>
      <c r="N53" s="29" t="n">
        <v>0.644444444444444</v>
      </c>
      <c r="O53" s="13" t="n">
        <v>1.00277777777778</v>
      </c>
      <c r="P53" s="28"/>
    </row>
    <row r="54" s="21" customFormat="true" ht="20.25" hidden="false" customHeight="false" outlineLevel="0" collapsed="false">
      <c r="A54" s="16"/>
      <c r="B54" s="17"/>
      <c r="C54" s="18"/>
      <c r="D54" s="17"/>
      <c r="E54" s="18"/>
      <c r="F54" s="17"/>
      <c r="G54" s="18"/>
      <c r="H54" s="17" t="s">
        <v>43</v>
      </c>
      <c r="I54" s="19" t="s">
        <v>44</v>
      </c>
      <c r="J54" s="17" t="s">
        <v>24</v>
      </c>
      <c r="K54" s="19" t="s">
        <v>25</v>
      </c>
      <c r="L54" s="17" t="s">
        <v>26</v>
      </c>
      <c r="M54" s="19" t="s">
        <v>27</v>
      </c>
      <c r="N54" s="17" t="s">
        <v>56</v>
      </c>
      <c r="O54" s="19" t="s">
        <v>44</v>
      </c>
      <c r="P54" s="32"/>
    </row>
    <row r="55" customFormat="false" ht="20.25" hidden="false" customHeight="false" outlineLevel="0" collapsed="false">
      <c r="A55" s="22" t="n">
        <v>11</v>
      </c>
      <c r="B55" s="23" t="s">
        <v>18</v>
      </c>
      <c r="C55" s="23"/>
      <c r="D55" s="23" t="s">
        <v>18</v>
      </c>
      <c r="E55" s="23"/>
      <c r="F55" s="23" t="s">
        <v>23</v>
      </c>
      <c r="G55" s="23"/>
      <c r="H55" s="45"/>
      <c r="I55" s="45"/>
      <c r="J55" s="23"/>
      <c r="K55" s="23"/>
      <c r="L55" s="23"/>
      <c r="M55" s="23"/>
      <c r="N55" s="23"/>
      <c r="O55" s="23"/>
      <c r="P55" s="28"/>
    </row>
    <row r="56" customFormat="false" ht="20.25" hidden="false" customHeight="false" outlineLevel="0" collapsed="false">
      <c r="A56" s="22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8"/>
    </row>
    <row r="57" customFormat="false" ht="20.25" hidden="false" customHeight="false" outlineLevel="0" collapsed="false">
      <c r="A57" s="24"/>
      <c r="B57" s="25"/>
      <c r="C57" s="26" t="n">
        <f aca="false">SUM(C53-B53)</f>
        <v>0</v>
      </c>
      <c r="D57" s="25"/>
      <c r="E57" s="26" t="n">
        <f aca="false">SUM(E53-D53)</f>
        <v>0</v>
      </c>
      <c r="F57" s="25"/>
      <c r="G57" s="26" t="n">
        <v>0.333333333333333</v>
      </c>
      <c r="H57" s="25"/>
      <c r="I57" s="26" t="n">
        <f aca="false">SUM(I53-H53)</f>
        <v>0.314583333333333</v>
      </c>
      <c r="J57" s="27" t="n">
        <f aca="false">(24-I53+(J53))</f>
        <v>23.6069444444444</v>
      </c>
      <c r="K57" s="26" t="n">
        <f aca="false">SUM(K53-J53)</f>
        <v>0.304861111111111</v>
      </c>
      <c r="L57" s="27" t="n">
        <f aca="false">(24-K53+(L53))</f>
        <v>23.6520833333333</v>
      </c>
      <c r="M57" s="26" t="n">
        <f aca="false">SUM(M53-L53)</f>
        <v>0.399305555555555</v>
      </c>
      <c r="N57" s="27" t="n">
        <f aca="false">(24-M53+(N53))</f>
        <v>23.6673611111111</v>
      </c>
      <c r="O57" s="26" t="n">
        <f aca="false">SUM(O53-N53)</f>
        <v>0.358333333333333</v>
      </c>
      <c r="P57" s="28" t="n">
        <f aca="false">SUM(C57+E57+G57+I57+K57+M57+O57)</f>
        <v>1.71041666666667</v>
      </c>
    </row>
    <row r="58" customFormat="false" ht="20.25" hidden="false" customHeight="false" outlineLevel="0" collapsed="false">
      <c r="A58" s="10"/>
      <c r="B58" s="29" t="n">
        <v>0.517361111111111</v>
      </c>
      <c r="C58" s="13" t="n">
        <v>0.865277777777778</v>
      </c>
      <c r="D58" s="29" t="n">
        <v>0.577777777777778</v>
      </c>
      <c r="E58" s="13" t="n">
        <v>0.867361111111111</v>
      </c>
      <c r="F58" s="11" t="n">
        <v>0</v>
      </c>
      <c r="G58" s="13" t="n">
        <v>0</v>
      </c>
      <c r="H58" s="29" t="n">
        <v>0.366666666666667</v>
      </c>
      <c r="I58" s="13" t="n">
        <v>0.7</v>
      </c>
      <c r="J58" s="11" t="n">
        <v>0.221527777777778</v>
      </c>
      <c r="K58" s="13" t="n">
        <v>0.55</v>
      </c>
      <c r="L58" s="29" t="n">
        <v>0.179166666666667</v>
      </c>
      <c r="M58" s="13" t="n">
        <v>0.594444444444444</v>
      </c>
      <c r="N58" s="29" t="n">
        <v>0</v>
      </c>
      <c r="O58" s="13" t="n">
        <v>0</v>
      </c>
      <c r="P58" s="28"/>
    </row>
    <row r="59" s="21" customFormat="true" ht="20.25" hidden="false" customHeight="false" outlineLevel="0" collapsed="false">
      <c r="A59" s="16"/>
      <c r="B59" s="17" t="s">
        <v>57</v>
      </c>
      <c r="C59" s="19" t="s">
        <v>58</v>
      </c>
      <c r="D59" s="17" t="s">
        <v>59</v>
      </c>
      <c r="E59" s="19" t="s">
        <v>60</v>
      </c>
      <c r="F59" s="17"/>
      <c r="G59" s="19"/>
      <c r="H59" s="17"/>
      <c r="I59" s="18"/>
      <c r="J59" s="17" t="s">
        <v>35</v>
      </c>
      <c r="K59" s="19" t="s">
        <v>36</v>
      </c>
      <c r="L59" s="17" t="s">
        <v>21</v>
      </c>
      <c r="M59" s="19" t="s">
        <v>22</v>
      </c>
      <c r="N59" s="17"/>
      <c r="O59" s="18"/>
      <c r="P59" s="32"/>
    </row>
    <row r="60" customFormat="false" ht="20.25" hidden="false" customHeight="false" outlineLevel="0" collapsed="false">
      <c r="A60" s="22" t="n">
        <v>12</v>
      </c>
      <c r="B60" s="23"/>
      <c r="C60" s="23"/>
      <c r="D60" s="23"/>
      <c r="E60" s="23"/>
      <c r="F60" s="23" t="s">
        <v>18</v>
      </c>
      <c r="G60" s="23"/>
      <c r="H60" s="23" t="s">
        <v>30</v>
      </c>
      <c r="I60" s="23"/>
      <c r="J60" s="23"/>
      <c r="K60" s="23"/>
      <c r="L60" s="23"/>
      <c r="M60" s="23"/>
      <c r="N60" s="23" t="s">
        <v>18</v>
      </c>
      <c r="O60" s="23"/>
      <c r="P60" s="28"/>
    </row>
    <row r="61" customFormat="false" ht="20.25" hidden="false" customHeight="false" outlineLevel="0" collapsed="false">
      <c r="A61" s="3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8"/>
    </row>
    <row r="62" customFormat="false" ht="20.25" hidden="false" customHeight="false" outlineLevel="0" collapsed="false">
      <c r="A62" s="34"/>
      <c r="B62" s="25" t="n">
        <f aca="false">(24-O53+(B58))</f>
        <v>23.5145833333333</v>
      </c>
      <c r="C62" s="26" t="n">
        <f aca="false">SUM(C58-B58)</f>
        <v>0.347916666666667</v>
      </c>
      <c r="D62" s="27" t="n">
        <f aca="false">(24-C58+(D58))</f>
        <v>23.7125</v>
      </c>
      <c r="E62" s="26" t="n">
        <f aca="false">SUM(E58-D58)</f>
        <v>0.289583333333333</v>
      </c>
      <c r="F62" s="25"/>
      <c r="G62" s="26" t="n">
        <f aca="false">SUM(G58-F58)</f>
        <v>0</v>
      </c>
      <c r="H62" s="25"/>
      <c r="I62" s="26" t="n">
        <f aca="false">SUM(I58-H58)</f>
        <v>0.333333333333333</v>
      </c>
      <c r="J62" s="27" t="n">
        <f aca="false">(24-I58+(J58))</f>
        <v>23.5215277777778</v>
      </c>
      <c r="K62" s="26" t="n">
        <f aca="false">SUM(K58-J58)</f>
        <v>0.328472222222222</v>
      </c>
      <c r="L62" s="27" t="n">
        <f aca="false">(24-K58+(L58))</f>
        <v>23.6291666666667</v>
      </c>
      <c r="M62" s="26" t="n">
        <f aca="false">SUM(M58-L58)</f>
        <v>0.415277777777778</v>
      </c>
      <c r="N62" s="25"/>
      <c r="O62" s="26" t="n">
        <f aca="false">SUM(O58-N58)</f>
        <v>0</v>
      </c>
      <c r="P62" s="28" t="n">
        <f aca="false">SUM(C62+E62+G62+I62+K62+M62+O62)</f>
        <v>1.71458333333333</v>
      </c>
    </row>
    <row r="63" customFormat="false" ht="20.25" hidden="false" customHeight="false" outlineLevel="0" collapsed="false">
      <c r="A63" s="10"/>
      <c r="B63" s="29" t="n">
        <v>0</v>
      </c>
      <c r="C63" s="13" t="n">
        <v>0</v>
      </c>
      <c r="D63" s="39" t="n">
        <v>0.303472222222222</v>
      </c>
      <c r="E63" s="13" t="n">
        <v>0.629166666666667</v>
      </c>
      <c r="F63" s="29" t="n">
        <v>0.366666666666667</v>
      </c>
      <c r="G63" s="13" t="n">
        <v>0.7</v>
      </c>
      <c r="H63" s="39" t="n">
        <v>0.303472222222222</v>
      </c>
      <c r="I63" s="13" t="n">
        <v>0.629166666666667</v>
      </c>
      <c r="J63" s="11" t="n">
        <v>0</v>
      </c>
      <c r="K63" s="35" t="n">
        <v>0</v>
      </c>
      <c r="L63" s="11" t="n">
        <v>0.620833333333333</v>
      </c>
      <c r="M63" s="35" t="n">
        <v>0.925694444444444</v>
      </c>
      <c r="N63" s="29" t="n">
        <v>0.436805555555555</v>
      </c>
      <c r="O63" s="13" t="n">
        <v>0.83125</v>
      </c>
      <c r="P63" s="28"/>
    </row>
    <row r="64" s="21" customFormat="true" ht="20.25" hidden="false" customHeight="false" outlineLevel="0" collapsed="false">
      <c r="A64" s="16"/>
      <c r="B64" s="17"/>
      <c r="C64" s="18"/>
      <c r="D64" s="17" t="s">
        <v>37</v>
      </c>
      <c r="E64" s="19" t="s">
        <v>38</v>
      </c>
      <c r="F64" s="37"/>
      <c r="G64" s="38"/>
      <c r="H64" s="17" t="s">
        <v>37</v>
      </c>
      <c r="I64" s="19" t="s">
        <v>38</v>
      </c>
      <c r="J64" s="17"/>
      <c r="K64" s="18"/>
      <c r="L64" s="17" t="s">
        <v>24</v>
      </c>
      <c r="M64" s="19" t="s">
        <v>25</v>
      </c>
      <c r="N64" s="17" t="s">
        <v>61</v>
      </c>
      <c r="O64" s="19" t="s">
        <v>60</v>
      </c>
      <c r="P64" s="32"/>
    </row>
    <row r="65" customFormat="false" ht="20.25" hidden="false" customHeight="false" outlineLevel="0" collapsed="false">
      <c r="A65" s="22" t="n">
        <v>13</v>
      </c>
      <c r="B65" s="23" t="s">
        <v>18</v>
      </c>
      <c r="C65" s="23"/>
      <c r="D65" s="23"/>
      <c r="E65" s="23"/>
      <c r="F65" s="23" t="s">
        <v>30</v>
      </c>
      <c r="G65" s="23"/>
      <c r="H65" s="17"/>
      <c r="I65" s="18"/>
      <c r="J65" s="23" t="s">
        <v>18</v>
      </c>
      <c r="K65" s="23"/>
      <c r="L65" s="23"/>
      <c r="M65" s="23"/>
      <c r="N65" s="23"/>
      <c r="O65" s="23"/>
      <c r="P65" s="28"/>
    </row>
    <row r="66" customFormat="false" ht="20.25" hidden="false" customHeight="false" outlineLevel="0" collapsed="false">
      <c r="A66" s="22"/>
      <c r="B66" s="23"/>
      <c r="C66" s="23"/>
      <c r="D66" s="23"/>
      <c r="E66" s="23"/>
      <c r="F66" s="23"/>
      <c r="G66" s="23"/>
      <c r="H66" s="17"/>
      <c r="I66" s="18"/>
      <c r="J66" s="23"/>
      <c r="K66" s="23"/>
      <c r="L66" s="23"/>
      <c r="M66" s="23"/>
      <c r="N66" s="23"/>
      <c r="O66" s="23"/>
      <c r="P66" s="28"/>
    </row>
    <row r="67" customFormat="false" ht="20.25" hidden="false" customHeight="false" outlineLevel="0" collapsed="false">
      <c r="A67" s="24"/>
      <c r="B67" s="25"/>
      <c r="C67" s="26" t="n">
        <f aca="false">SUM(C63-B63)</f>
        <v>0</v>
      </c>
      <c r="D67" s="25"/>
      <c r="E67" s="26" t="n">
        <f aca="false">SUM(E63-D63)</f>
        <v>0.325694444444444</v>
      </c>
      <c r="F67" s="27" t="n">
        <f aca="false">(24-E63+(F63))</f>
        <v>23.7375</v>
      </c>
      <c r="G67" s="26" t="n">
        <f aca="false">SUM(G63-F63)</f>
        <v>0.333333333333333</v>
      </c>
      <c r="H67" s="25"/>
      <c r="I67" s="26" t="n">
        <f aca="false">SUM(I63-H63)</f>
        <v>0.325694444444444</v>
      </c>
      <c r="J67" s="25"/>
      <c r="K67" s="26" t="n">
        <f aca="false">SUM(K63-J63)</f>
        <v>0</v>
      </c>
      <c r="L67" s="27" t="n">
        <f aca="false">(24-K63+(L63))</f>
        <v>24.6208333333333</v>
      </c>
      <c r="M67" s="26" t="n">
        <f aca="false">SUM(M63-L63)</f>
        <v>0.304861111111111</v>
      </c>
      <c r="N67" s="27" t="n">
        <f aca="false">(24-M63+(N63))</f>
        <v>23.5111111111111</v>
      </c>
      <c r="O67" s="26" t="n">
        <f aca="false">SUM(O63-N63)</f>
        <v>0.394444444444444</v>
      </c>
      <c r="P67" s="28" t="n">
        <f aca="false">SUM(C67+E67+G67+I67+K67+M67+O67)</f>
        <v>1.68402777777778</v>
      </c>
    </row>
    <row r="68" customFormat="false" ht="20.25" hidden="false" customHeight="false" outlineLevel="0" collapsed="false">
      <c r="A68" s="10"/>
      <c r="B68" s="14" t="n">
        <v>0.366666666666667</v>
      </c>
      <c r="C68" s="13" t="n">
        <v>0.677777777777778</v>
      </c>
      <c r="D68" s="11" t="n">
        <v>0.221527777777778</v>
      </c>
      <c r="E68" s="13" t="n">
        <v>0.55</v>
      </c>
      <c r="F68" s="11" t="n">
        <v>0.284722222222222</v>
      </c>
      <c r="G68" s="13" t="n">
        <v>0.589583333333333</v>
      </c>
      <c r="H68" s="11" t="n">
        <v>0.225</v>
      </c>
      <c r="I68" s="13" t="n">
        <v>0.5375</v>
      </c>
      <c r="J68" s="11" t="n">
        <v>0.172222222222222</v>
      </c>
      <c r="K68" s="12" t="n">
        <v>0.484722222222222</v>
      </c>
      <c r="L68" s="30" t="n">
        <v>0</v>
      </c>
      <c r="M68" s="31" t="n">
        <v>0</v>
      </c>
      <c r="N68" s="29" t="n">
        <v>0</v>
      </c>
      <c r="O68" s="13" t="n">
        <v>0</v>
      </c>
      <c r="P68" s="28"/>
    </row>
    <row r="69" s="21" customFormat="true" ht="20.25" hidden="false" customHeight="false" outlineLevel="0" collapsed="false">
      <c r="A69" s="16"/>
      <c r="B69" s="17" t="s">
        <v>62</v>
      </c>
      <c r="C69" s="19" t="s">
        <v>63</v>
      </c>
      <c r="D69" s="17" t="s">
        <v>35</v>
      </c>
      <c r="E69" s="19" t="s">
        <v>36</v>
      </c>
      <c r="F69" s="17" t="s">
        <v>14</v>
      </c>
      <c r="G69" s="19" t="s">
        <v>15</v>
      </c>
      <c r="H69" s="17" t="s">
        <v>12</v>
      </c>
      <c r="I69" s="19" t="s">
        <v>13</v>
      </c>
      <c r="J69" s="17" t="s">
        <v>10</v>
      </c>
      <c r="K69" s="19" t="s">
        <v>11</v>
      </c>
      <c r="L69" s="17"/>
      <c r="M69" s="18"/>
      <c r="N69" s="17"/>
      <c r="O69" s="18"/>
      <c r="P69" s="32"/>
    </row>
    <row r="70" customFormat="false" ht="20.25" hidden="false" customHeight="false" outlineLevel="0" collapsed="false">
      <c r="A70" s="22" t="n">
        <v>14</v>
      </c>
      <c r="B70" s="23"/>
      <c r="C70" s="23"/>
      <c r="D70" s="23"/>
      <c r="E70" s="23"/>
      <c r="F70" s="23"/>
      <c r="G70" s="23"/>
      <c r="H70" s="23"/>
      <c r="I70" s="23"/>
      <c r="J70" s="17"/>
      <c r="K70" s="18"/>
      <c r="L70" s="23" t="s">
        <v>18</v>
      </c>
      <c r="M70" s="23"/>
      <c r="N70" s="23" t="s">
        <v>18</v>
      </c>
      <c r="O70" s="23"/>
      <c r="P70" s="28"/>
    </row>
    <row r="71" customFormat="false" ht="20.25" hidden="false" customHeight="false" outlineLevel="0" collapsed="false">
      <c r="A71" s="33"/>
      <c r="B71" s="23"/>
      <c r="C71" s="23"/>
      <c r="D71" s="23"/>
      <c r="E71" s="23"/>
      <c r="F71" s="23"/>
      <c r="G71" s="23"/>
      <c r="H71" s="23"/>
      <c r="I71" s="23"/>
      <c r="J71" s="17"/>
      <c r="K71" s="18"/>
      <c r="L71" s="23"/>
      <c r="M71" s="23"/>
      <c r="N71" s="23"/>
      <c r="O71" s="23"/>
      <c r="P71" s="28"/>
    </row>
    <row r="72" customFormat="false" ht="20.25" hidden="false" customHeight="false" outlineLevel="0" collapsed="false">
      <c r="A72" s="34"/>
      <c r="B72" s="25" t="n">
        <f aca="false">(24-O63+(B68))</f>
        <v>23.5354166666667</v>
      </c>
      <c r="C72" s="26" t="n">
        <f aca="false">SUM(C68-B68)</f>
        <v>0.311111111111111</v>
      </c>
      <c r="D72" s="27" t="n">
        <f aca="false">(24-C68+(D68))</f>
        <v>23.54375</v>
      </c>
      <c r="E72" s="26" t="n">
        <f aca="false">SUM(E68-D68)</f>
        <v>0.328472222222222</v>
      </c>
      <c r="F72" s="27" t="n">
        <f aca="false">(24-E68+(F68))</f>
        <v>23.7347222222222</v>
      </c>
      <c r="G72" s="26" t="n">
        <f aca="false">SUM(G68-F68)</f>
        <v>0.304861111111111</v>
      </c>
      <c r="H72" s="25"/>
      <c r="I72" s="26" t="n">
        <f aca="false">SUM(I68-H68)</f>
        <v>0.3125</v>
      </c>
      <c r="J72" s="25"/>
      <c r="K72" s="26" t="n">
        <f aca="false">SUM(K68-J68)</f>
        <v>0.3125</v>
      </c>
      <c r="L72" s="25"/>
      <c r="M72" s="26" t="n">
        <f aca="false">SUM(M68-L68)</f>
        <v>0</v>
      </c>
      <c r="N72" s="25"/>
      <c r="O72" s="26" t="n">
        <f aca="false">SUM(O68-N68)</f>
        <v>0</v>
      </c>
      <c r="P72" s="28" t="n">
        <f aca="false">SUM(C72+E72+G72+I72+K72+M72+O72)</f>
        <v>1.56944444444444</v>
      </c>
    </row>
    <row r="73" customFormat="false" ht="20.25" hidden="false" customHeight="false" outlineLevel="0" collapsed="false">
      <c r="A73" s="10"/>
      <c r="B73" s="29" t="n">
        <v>0</v>
      </c>
      <c r="C73" s="13" t="n">
        <v>0</v>
      </c>
      <c r="D73" s="30" t="n">
        <v>0</v>
      </c>
      <c r="E73" s="31" t="n">
        <v>0</v>
      </c>
      <c r="F73" s="11" t="n">
        <v>0.620833333333333</v>
      </c>
      <c r="G73" s="35" t="n">
        <v>0.925694444444444</v>
      </c>
      <c r="H73" s="29" t="n">
        <v>0.577777777777778</v>
      </c>
      <c r="I73" s="13" t="n">
        <v>0.977083333333333</v>
      </c>
      <c r="J73" s="11" t="n">
        <v>0.534027777777778</v>
      </c>
      <c r="K73" s="13" t="n">
        <v>0.806944444444444</v>
      </c>
      <c r="L73" s="29" t="n">
        <v>0.577777777777778</v>
      </c>
      <c r="M73" s="13" t="n">
        <v>0.867361111111111</v>
      </c>
      <c r="N73" s="29" t="n">
        <v>0</v>
      </c>
      <c r="O73" s="13" t="n">
        <v>0</v>
      </c>
      <c r="P73" s="28"/>
    </row>
    <row r="74" s="21" customFormat="true" ht="20.25" hidden="false" customHeight="false" outlineLevel="0" collapsed="false">
      <c r="A74" s="16"/>
      <c r="B74" s="17"/>
      <c r="C74" s="18"/>
      <c r="D74" s="17"/>
      <c r="E74" s="18"/>
      <c r="F74" s="17" t="s">
        <v>24</v>
      </c>
      <c r="G74" s="19" t="s">
        <v>25</v>
      </c>
      <c r="H74" s="17" t="s">
        <v>26</v>
      </c>
      <c r="I74" s="19"/>
      <c r="J74" s="17" t="s">
        <v>45</v>
      </c>
      <c r="K74" s="19" t="s">
        <v>46</v>
      </c>
      <c r="L74" s="17" t="s">
        <v>59</v>
      </c>
      <c r="M74" s="19" t="s">
        <v>60</v>
      </c>
      <c r="N74" s="17"/>
      <c r="O74" s="18"/>
      <c r="P74" s="32"/>
    </row>
    <row r="75" customFormat="false" ht="20.25" hidden="false" customHeight="false" outlineLevel="0" collapsed="false">
      <c r="A75" s="22" t="n">
        <v>15</v>
      </c>
      <c r="B75" s="23" t="s">
        <v>18</v>
      </c>
      <c r="C75" s="23"/>
      <c r="D75" s="23" t="s">
        <v>23</v>
      </c>
      <c r="E75" s="23"/>
      <c r="F75" s="23"/>
      <c r="G75" s="23"/>
      <c r="H75" s="46" t="s">
        <v>53</v>
      </c>
      <c r="I75" s="46"/>
      <c r="J75" s="23"/>
      <c r="K75" s="23"/>
      <c r="L75" s="23"/>
      <c r="M75" s="23"/>
      <c r="N75" s="23" t="s">
        <v>18</v>
      </c>
      <c r="O75" s="23"/>
      <c r="P75" s="28"/>
    </row>
    <row r="76" customFormat="false" ht="20.25" hidden="false" customHeight="false" outlineLevel="0" collapsed="false">
      <c r="A76" s="22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8"/>
    </row>
    <row r="77" customFormat="false" ht="20.25" hidden="false" customHeight="false" outlineLevel="0" collapsed="false">
      <c r="A77" s="24"/>
      <c r="B77" s="25"/>
      <c r="C77" s="26" t="n">
        <f aca="false">SUM(C73-B73)</f>
        <v>0</v>
      </c>
      <c r="D77" s="25"/>
      <c r="E77" s="26" t="n">
        <v>0.333333333333333</v>
      </c>
      <c r="F77" s="27" t="n">
        <f aca="false">(24-E73+(F73))</f>
        <v>24.6208333333333</v>
      </c>
      <c r="G77" s="26" t="n">
        <f aca="false">SUM(G73-F73)</f>
        <v>0.304861111111111</v>
      </c>
      <c r="H77" s="27" t="n">
        <f aca="false">(24-G73+(H73))</f>
        <v>23.6520833333333</v>
      </c>
      <c r="I77" s="26" t="n">
        <f aca="false">SUM(I73-H73)</f>
        <v>0.399305555555555</v>
      </c>
      <c r="J77" s="27" t="n">
        <f aca="false">(24-I73+(J73))</f>
        <v>23.5569444444444</v>
      </c>
      <c r="K77" s="26" t="n">
        <f aca="false">SUM(K73-J73)</f>
        <v>0.272916666666667</v>
      </c>
      <c r="L77" s="27" t="n">
        <f aca="false">(24-K73+(L73))</f>
        <v>23.7708333333333</v>
      </c>
      <c r="M77" s="26" t="n">
        <f aca="false">SUM(M73-L73)</f>
        <v>0.289583333333333</v>
      </c>
      <c r="N77" s="25"/>
      <c r="O77" s="26" t="n">
        <f aca="false">SUM(O73-N73)</f>
        <v>0</v>
      </c>
      <c r="P77" s="28" t="n">
        <f aca="false">SUM(C77+E77+G77+I77+K77+M77+O77)</f>
        <v>1.6</v>
      </c>
    </row>
    <row r="78" customFormat="false" ht="20.25" hidden="false" customHeight="false" outlineLevel="0" collapsed="false">
      <c r="A78" s="10"/>
      <c r="B78" s="29" t="n">
        <v>0</v>
      </c>
      <c r="C78" s="13" t="n">
        <v>0</v>
      </c>
      <c r="D78" s="11" t="n">
        <v>0.225</v>
      </c>
      <c r="E78" s="13" t="n">
        <v>0.5375</v>
      </c>
      <c r="F78" s="29" t="n">
        <v>0.179166666666667</v>
      </c>
      <c r="G78" s="13" t="n">
        <v>0.594444444444444</v>
      </c>
      <c r="H78" s="11" t="n">
        <v>0</v>
      </c>
      <c r="I78" s="12" t="n">
        <v>0</v>
      </c>
      <c r="J78" s="29" t="n">
        <v>0.327777777777778</v>
      </c>
      <c r="K78" s="13" t="n">
        <v>0.718055555555556</v>
      </c>
      <c r="L78" s="29" t="n">
        <v>0.327777777777778</v>
      </c>
      <c r="M78" s="13" t="n">
        <v>0.718055555555556</v>
      </c>
      <c r="N78" s="29" t="n">
        <v>0.234722222222222</v>
      </c>
      <c r="O78" s="13" t="n">
        <v>0.533333333333333</v>
      </c>
      <c r="P78" s="28"/>
    </row>
    <row r="79" s="21" customFormat="true" ht="20.25" hidden="false" customHeight="false" outlineLevel="0" collapsed="false">
      <c r="A79" s="16"/>
      <c r="B79" s="17"/>
      <c r="C79" s="18"/>
      <c r="D79" s="17" t="s">
        <v>12</v>
      </c>
      <c r="E79" s="19" t="s">
        <v>13</v>
      </c>
      <c r="F79" s="17" t="s">
        <v>21</v>
      </c>
      <c r="G79" s="19" t="s">
        <v>22</v>
      </c>
      <c r="H79" s="17"/>
      <c r="I79" s="18"/>
      <c r="J79" s="17" t="s">
        <v>33</v>
      </c>
      <c r="K79" s="19" t="s">
        <v>34</v>
      </c>
      <c r="L79" s="17" t="s">
        <v>33</v>
      </c>
      <c r="M79" s="19" t="s">
        <v>34</v>
      </c>
      <c r="N79" s="17" t="s">
        <v>64</v>
      </c>
      <c r="O79" s="19" t="s">
        <v>65</v>
      </c>
      <c r="P79" s="32"/>
    </row>
    <row r="80" customFormat="false" ht="20.25" hidden="false" customHeight="false" outlineLevel="0" collapsed="false">
      <c r="A80" s="22" t="n">
        <v>16</v>
      </c>
      <c r="B80" s="23" t="s">
        <v>18</v>
      </c>
      <c r="C80" s="23"/>
      <c r="D80" s="23"/>
      <c r="E80" s="23"/>
      <c r="F80" s="23"/>
      <c r="G80" s="23"/>
      <c r="H80" s="23" t="s">
        <v>18</v>
      </c>
      <c r="I80" s="23"/>
      <c r="J80" s="23"/>
      <c r="K80" s="23"/>
      <c r="L80" s="23"/>
      <c r="M80" s="23"/>
      <c r="N80" s="23" t="s">
        <v>66</v>
      </c>
      <c r="O80" s="23"/>
      <c r="P80" s="28"/>
    </row>
    <row r="81" customFormat="false" ht="20.25" hidden="false" customHeight="false" outlineLevel="0" collapsed="false">
      <c r="A81" s="3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8"/>
    </row>
    <row r="82" customFormat="false" ht="20.25" hidden="false" customHeight="false" outlineLevel="0" collapsed="false">
      <c r="A82" s="34"/>
      <c r="B82" s="25"/>
      <c r="C82" s="26" t="n">
        <f aca="false">SUM(C78-B78)</f>
        <v>0</v>
      </c>
      <c r="D82" s="25"/>
      <c r="E82" s="26" t="n">
        <f aca="false">SUM(E78-D78)</f>
        <v>0.3125</v>
      </c>
      <c r="F82" s="27" t="n">
        <f aca="false">(24-E78+(F78))</f>
        <v>23.6416666666667</v>
      </c>
      <c r="G82" s="26" t="n">
        <f aca="false">SUM(G78-F78)</f>
        <v>0.415277777777778</v>
      </c>
      <c r="H82" s="25"/>
      <c r="I82" s="26" t="n">
        <f aca="false">SUM(I78-H78)</f>
        <v>0</v>
      </c>
      <c r="J82" s="25"/>
      <c r="K82" s="26" t="n">
        <f aca="false">SUM(K78-J78)</f>
        <v>0.390277777777778</v>
      </c>
      <c r="L82" s="25"/>
      <c r="M82" s="26" t="n">
        <f aca="false">SUM(M78-L78)</f>
        <v>0.390277777777778</v>
      </c>
      <c r="N82" s="27" t="n">
        <f aca="false">(24-M78+(N78))</f>
        <v>23.5166666666667</v>
      </c>
      <c r="O82" s="26" t="n">
        <f aca="false">SUM(O78-N78)</f>
        <v>0.298611111111111</v>
      </c>
      <c r="P82" s="28" t="n">
        <f aca="false">SUM(C82+E82+G82+I82+K82+M82+O82)</f>
        <v>1.80694444444444</v>
      </c>
    </row>
    <row r="83" customFormat="false" ht="20.25" hidden="false" customHeight="false" outlineLevel="0" collapsed="false">
      <c r="A83" s="10"/>
      <c r="B83" s="11" t="n">
        <v>0.318055555555556</v>
      </c>
      <c r="C83" s="12" t="n">
        <v>0.609722222222222</v>
      </c>
      <c r="D83" s="29" t="n">
        <v>0.366666666666667</v>
      </c>
      <c r="E83" s="13" t="n">
        <v>0.7</v>
      </c>
      <c r="F83" s="11" t="n">
        <v>0.534027777777778</v>
      </c>
      <c r="G83" s="13" t="n">
        <v>0.867361111111111</v>
      </c>
      <c r="H83" s="11" t="n">
        <v>0</v>
      </c>
      <c r="I83" s="12" t="n">
        <v>0</v>
      </c>
      <c r="J83" s="29" t="n">
        <v>0.577777777777778</v>
      </c>
      <c r="K83" s="13" t="n">
        <v>0.867361111111111</v>
      </c>
      <c r="L83" s="29" t="n">
        <v>0.366666666666667</v>
      </c>
      <c r="M83" s="13" t="n">
        <v>0.7</v>
      </c>
      <c r="N83" s="11" t="n">
        <v>0</v>
      </c>
      <c r="O83" s="12" t="n">
        <v>0</v>
      </c>
      <c r="P83" s="28"/>
    </row>
    <row r="84" s="21" customFormat="true" ht="20.25" hidden="false" customHeight="false" outlineLevel="0" collapsed="false">
      <c r="A84" s="16"/>
      <c r="B84" s="17" t="s">
        <v>67</v>
      </c>
      <c r="C84" s="19" t="s">
        <v>68</v>
      </c>
      <c r="D84" s="37"/>
      <c r="E84" s="38"/>
      <c r="F84" s="17" t="s">
        <v>50</v>
      </c>
      <c r="G84" s="19" t="s">
        <v>42</v>
      </c>
      <c r="H84" s="17"/>
      <c r="I84" s="18"/>
      <c r="J84" s="17" t="s">
        <v>59</v>
      </c>
      <c r="K84" s="19" t="s">
        <v>60</v>
      </c>
      <c r="L84" s="37"/>
      <c r="M84" s="38"/>
      <c r="N84" s="17"/>
      <c r="O84" s="18"/>
      <c r="P84" s="32"/>
    </row>
    <row r="85" customFormat="false" ht="20.25" hidden="false" customHeight="false" outlineLevel="0" collapsed="false">
      <c r="A85" s="22" t="n">
        <v>17</v>
      </c>
      <c r="B85" s="40"/>
      <c r="C85" s="40"/>
      <c r="D85" s="23" t="s">
        <v>30</v>
      </c>
      <c r="E85" s="23"/>
      <c r="F85" s="23"/>
      <c r="G85" s="23"/>
      <c r="H85" s="23" t="s">
        <v>18</v>
      </c>
      <c r="I85" s="23"/>
      <c r="J85" s="23"/>
      <c r="K85" s="23"/>
      <c r="L85" s="23" t="s">
        <v>30</v>
      </c>
      <c r="M85" s="23"/>
      <c r="N85" s="23" t="s">
        <v>18</v>
      </c>
      <c r="O85" s="23"/>
      <c r="P85" s="28"/>
    </row>
    <row r="86" customFormat="false" ht="20.25" hidden="false" customHeight="false" outlineLevel="0" collapsed="false">
      <c r="A86" s="22"/>
      <c r="B86" s="40"/>
      <c r="C86" s="40"/>
      <c r="D86" s="40"/>
      <c r="E86" s="40"/>
      <c r="F86" s="23"/>
      <c r="G86" s="23"/>
      <c r="H86" s="40"/>
      <c r="I86" s="40"/>
      <c r="J86" s="23"/>
      <c r="K86" s="23"/>
      <c r="L86" s="40"/>
      <c r="M86" s="40"/>
      <c r="N86" s="40"/>
      <c r="O86" s="40"/>
      <c r="P86" s="28"/>
    </row>
    <row r="87" customFormat="false" ht="20.25" hidden="false" customHeight="false" outlineLevel="0" collapsed="false">
      <c r="A87" s="24"/>
      <c r="B87" s="25" t="n">
        <f aca="false">(24-O78+(B83))</f>
        <v>23.7847222222222</v>
      </c>
      <c r="C87" s="26" t="n">
        <f aca="false">SUM(C83-B83)</f>
        <v>0.291666666666667</v>
      </c>
      <c r="D87" s="27" t="n">
        <f aca="false">(24-C83+(D83))</f>
        <v>23.7569444444444</v>
      </c>
      <c r="E87" s="26" t="n">
        <f aca="false">SUM(E83-D83)</f>
        <v>0.333333333333333</v>
      </c>
      <c r="F87" s="27" t="n">
        <f aca="false">(24-E83+(F83))</f>
        <v>23.8340277777778</v>
      </c>
      <c r="G87" s="26" t="n">
        <f aca="false">SUM(G83-F83)</f>
        <v>0.333333333333333</v>
      </c>
      <c r="H87" s="27"/>
      <c r="I87" s="26" t="n">
        <f aca="false">SUM(I83-H83)</f>
        <v>0</v>
      </c>
      <c r="J87" s="27" t="n">
        <f aca="false">(24-I83+(J83))</f>
        <v>24.5777777777778</v>
      </c>
      <c r="K87" s="26" t="n">
        <f aca="false">SUM(K83-J83)</f>
        <v>0.289583333333333</v>
      </c>
      <c r="L87" s="27" t="n">
        <f aca="false">(24-K83+(L83))</f>
        <v>23.4993055555556</v>
      </c>
      <c r="M87" s="26" t="n">
        <f aca="false">SUM(M83-L83)</f>
        <v>0.333333333333333</v>
      </c>
      <c r="N87" s="25"/>
      <c r="O87" s="26" t="n">
        <f aca="false">SUM(O83-N83)</f>
        <v>0</v>
      </c>
      <c r="P87" s="28" t="n">
        <f aca="false">SUM(C87+E87+G87+I87+K87+M87+O87)</f>
        <v>1.58125</v>
      </c>
    </row>
    <row r="88" customFormat="false" ht="20.25" hidden="false" customHeight="false" outlineLevel="0" collapsed="false">
      <c r="A88" s="48"/>
      <c r="B88" s="49"/>
      <c r="C88" s="50"/>
      <c r="D88" s="51"/>
      <c r="E88" s="52"/>
      <c r="F88" s="51"/>
      <c r="G88" s="52"/>
      <c r="H88" s="51"/>
      <c r="I88" s="52"/>
      <c r="J88" s="51"/>
      <c r="K88" s="52"/>
      <c r="L88" s="51"/>
      <c r="M88" s="52"/>
      <c r="N88" s="49"/>
      <c r="O88" s="50"/>
      <c r="P88" s="28"/>
    </row>
    <row r="89" customFormat="false" ht="20.25" hidden="false" customHeight="false" outlineLevel="0" collapsed="false">
      <c r="A89" s="53"/>
      <c r="B89" s="54"/>
      <c r="C89" s="55"/>
      <c r="D89" s="56"/>
      <c r="E89" s="57"/>
      <c r="F89" s="56"/>
      <c r="G89" s="57"/>
      <c r="H89" s="56"/>
      <c r="I89" s="57"/>
      <c r="J89" s="56"/>
      <c r="K89" s="57"/>
      <c r="L89" s="56"/>
      <c r="M89" s="57"/>
      <c r="N89" s="54"/>
      <c r="O89" s="55"/>
      <c r="P89" s="28"/>
    </row>
    <row r="90" customFormat="false" ht="20.25" hidden="false" customHeight="false" outlineLevel="0" collapsed="false">
      <c r="A90" s="22"/>
      <c r="B90" s="58"/>
      <c r="C90" s="58"/>
      <c r="D90" s="59"/>
      <c r="E90" s="59"/>
      <c r="F90" s="59"/>
      <c r="G90" s="59"/>
      <c r="H90" s="59"/>
      <c r="I90" s="59"/>
      <c r="J90" s="59"/>
      <c r="K90" s="59"/>
      <c r="L90" s="59"/>
      <c r="M90" s="59"/>
      <c r="N90" s="58"/>
      <c r="O90" s="58"/>
      <c r="P90" s="28"/>
    </row>
    <row r="91" customFormat="false" ht="20.25" hidden="false" customHeight="false" outlineLevel="0" collapsed="false">
      <c r="A91" s="22"/>
      <c r="D91" s="59"/>
      <c r="E91" s="59"/>
      <c r="F91" s="59"/>
      <c r="G91" s="59"/>
      <c r="H91" s="59"/>
      <c r="I91" s="59"/>
      <c r="J91" s="59"/>
      <c r="K91" s="59"/>
      <c r="L91" s="59"/>
      <c r="M91" s="59"/>
      <c r="N91" s="60"/>
      <c r="O91" s="61"/>
      <c r="P91" s="28"/>
    </row>
    <row r="92" customFormat="false" ht="20.25" hidden="false" customHeight="false" outlineLevel="0" collapsed="false">
      <c r="A92" s="24"/>
      <c r="B92" s="62"/>
      <c r="C92" s="63"/>
      <c r="D92" s="64"/>
      <c r="E92" s="63"/>
      <c r="F92" s="64"/>
      <c r="G92" s="63"/>
      <c r="H92" s="64"/>
      <c r="I92" s="63"/>
      <c r="J92" s="64"/>
      <c r="K92" s="63"/>
      <c r="L92" s="64"/>
      <c r="M92" s="63"/>
      <c r="N92" s="65"/>
      <c r="O92" s="63"/>
      <c r="P92" s="66"/>
    </row>
    <row r="93" customFormat="false" ht="20.25" hidden="false" customHeight="false" outlineLevel="0" collapsed="false">
      <c r="A93" s="67" t="s">
        <v>0</v>
      </c>
      <c r="B93" s="68" t="s">
        <v>1</v>
      </c>
      <c r="C93" s="68"/>
      <c r="D93" s="68" t="s">
        <v>2</v>
      </c>
      <c r="E93" s="68"/>
      <c r="F93" s="68" t="s">
        <v>3</v>
      </c>
      <c r="G93" s="68"/>
      <c r="H93" s="68" t="s">
        <v>4</v>
      </c>
      <c r="I93" s="68"/>
      <c r="J93" s="68" t="s">
        <v>5</v>
      </c>
      <c r="K93" s="68"/>
      <c r="L93" s="68" t="s">
        <v>6</v>
      </c>
      <c r="M93" s="68"/>
      <c r="N93" s="68" t="s">
        <v>7</v>
      </c>
      <c r="O93" s="68"/>
      <c r="P93" s="69" t="s">
        <v>8</v>
      </c>
    </row>
    <row r="94" customFormat="false" ht="21" hidden="false" customHeight="false" outlineLevel="0" collapsed="false">
      <c r="A94" s="70"/>
      <c r="B94" s="71" t="n">
        <f aca="false">B2</f>
        <v>41259</v>
      </c>
      <c r="C94" s="71"/>
      <c r="D94" s="71" t="n">
        <f aca="false">SUM(B94)+1</f>
        <v>41260</v>
      </c>
      <c r="E94" s="71"/>
      <c r="F94" s="71" t="n">
        <f aca="false">SUM(D94)+1</f>
        <v>41261</v>
      </c>
      <c r="G94" s="71"/>
      <c r="H94" s="71" t="n">
        <f aca="false">SUM(F94)+1</f>
        <v>41262</v>
      </c>
      <c r="I94" s="71"/>
      <c r="J94" s="71" t="n">
        <f aca="false">SUM(H94)+1</f>
        <v>41263</v>
      </c>
      <c r="K94" s="71"/>
      <c r="L94" s="71" t="n">
        <f aca="false">SUM(J94)+1</f>
        <v>41264</v>
      </c>
      <c r="M94" s="71"/>
      <c r="N94" s="71" t="n">
        <f aca="false">SUM(L94)+1</f>
        <v>41265</v>
      </c>
      <c r="O94" s="71"/>
      <c r="P94" s="72"/>
    </row>
    <row r="95" customFormat="false" ht="21" hidden="false" customHeight="false" outlineLevel="0" collapsed="false"/>
  </sheetData>
  <mergeCells count="258">
    <mergeCell ref="B1:C1"/>
    <mergeCell ref="D1:E1"/>
    <mergeCell ref="F1:G1"/>
    <mergeCell ref="H1:I1"/>
    <mergeCell ref="J1:K1"/>
    <mergeCell ref="L1:M1"/>
    <mergeCell ref="N1:O1"/>
    <mergeCell ref="B2:C2"/>
    <mergeCell ref="D2:E2"/>
    <mergeCell ref="F2:G2"/>
    <mergeCell ref="H2:I2"/>
    <mergeCell ref="J2:K2"/>
    <mergeCell ref="L2:M2"/>
    <mergeCell ref="N2:O2"/>
    <mergeCell ref="B5:C5"/>
    <mergeCell ref="F5:G5"/>
    <mergeCell ref="H5:I5"/>
    <mergeCell ref="J5:K5"/>
    <mergeCell ref="L5:M5"/>
    <mergeCell ref="N5:O5"/>
    <mergeCell ref="B6:C6"/>
    <mergeCell ref="F6:G6"/>
    <mergeCell ref="H6:I6"/>
    <mergeCell ref="J6:K6"/>
    <mergeCell ref="L6:M6"/>
    <mergeCell ref="N6:O6"/>
    <mergeCell ref="B10:C10"/>
    <mergeCell ref="D10:E10"/>
    <mergeCell ref="H10:I10"/>
    <mergeCell ref="J10:K10"/>
    <mergeCell ref="L10:M10"/>
    <mergeCell ref="N10:O10"/>
    <mergeCell ref="B11:C11"/>
    <mergeCell ref="D11:E11"/>
    <mergeCell ref="H11:I11"/>
    <mergeCell ref="J11:K11"/>
    <mergeCell ref="L11:M11"/>
    <mergeCell ref="N11:O11"/>
    <mergeCell ref="B15:C15"/>
    <mergeCell ref="D15:E15"/>
    <mergeCell ref="F15:G15"/>
    <mergeCell ref="H15:I15"/>
    <mergeCell ref="J15:K15"/>
    <mergeCell ref="L15:M15"/>
    <mergeCell ref="N15:O15"/>
    <mergeCell ref="B16:C16"/>
    <mergeCell ref="D16:E16"/>
    <mergeCell ref="F16:G16"/>
    <mergeCell ref="H16:I16"/>
    <mergeCell ref="J16:K16"/>
    <mergeCell ref="L16:M16"/>
    <mergeCell ref="N16:O16"/>
    <mergeCell ref="B20:C20"/>
    <mergeCell ref="D20:E20"/>
    <mergeCell ref="F20:G20"/>
    <mergeCell ref="H20:I20"/>
    <mergeCell ref="J20:K20"/>
    <mergeCell ref="L20:M20"/>
    <mergeCell ref="N20:O20"/>
    <mergeCell ref="B21:C21"/>
    <mergeCell ref="D21:E21"/>
    <mergeCell ref="F21:G21"/>
    <mergeCell ref="H21:I21"/>
    <mergeCell ref="J21:K21"/>
    <mergeCell ref="L21:M21"/>
    <mergeCell ref="N21:O21"/>
    <mergeCell ref="B25:C25"/>
    <mergeCell ref="D25:E25"/>
    <mergeCell ref="H25:I25"/>
    <mergeCell ref="J25:K25"/>
    <mergeCell ref="L25:M25"/>
    <mergeCell ref="N25:O25"/>
    <mergeCell ref="D26:E26"/>
    <mergeCell ref="H26:I26"/>
    <mergeCell ref="J26:K26"/>
    <mergeCell ref="L26:M26"/>
    <mergeCell ref="B30:C30"/>
    <mergeCell ref="D30:E30"/>
    <mergeCell ref="F30:G30"/>
    <mergeCell ref="J30:K30"/>
    <mergeCell ref="N30:O30"/>
    <mergeCell ref="B31:C31"/>
    <mergeCell ref="D31:E31"/>
    <mergeCell ref="F31:G31"/>
    <mergeCell ref="J31:K31"/>
    <mergeCell ref="N31:O31"/>
    <mergeCell ref="B35:C35"/>
    <mergeCell ref="D35:E35"/>
    <mergeCell ref="F35:G35"/>
    <mergeCell ref="H35:I35"/>
    <mergeCell ref="J35:K35"/>
    <mergeCell ref="L35:M35"/>
    <mergeCell ref="N35:O35"/>
    <mergeCell ref="B36:C36"/>
    <mergeCell ref="D36:E36"/>
    <mergeCell ref="F36:G36"/>
    <mergeCell ref="H36:I36"/>
    <mergeCell ref="J36:K36"/>
    <mergeCell ref="L36:M36"/>
    <mergeCell ref="N36:O36"/>
    <mergeCell ref="B40:C40"/>
    <mergeCell ref="D40:E40"/>
    <mergeCell ref="F40:G40"/>
    <mergeCell ref="H40:I40"/>
    <mergeCell ref="N40:O40"/>
    <mergeCell ref="B41:C41"/>
    <mergeCell ref="D41:E41"/>
    <mergeCell ref="F41:G41"/>
    <mergeCell ref="H41:I41"/>
    <mergeCell ref="N41:O41"/>
    <mergeCell ref="B45:C45"/>
    <mergeCell ref="D45:E45"/>
    <mergeCell ref="F45:G45"/>
    <mergeCell ref="H45:I45"/>
    <mergeCell ref="J45:K45"/>
    <mergeCell ref="L45:M45"/>
    <mergeCell ref="N45:O45"/>
    <mergeCell ref="B46:C46"/>
    <mergeCell ref="D46:E46"/>
    <mergeCell ref="F46:G46"/>
    <mergeCell ref="H46:I46"/>
    <mergeCell ref="J46:K46"/>
    <mergeCell ref="L46:M46"/>
    <mergeCell ref="N46:O46"/>
    <mergeCell ref="B50:C50"/>
    <mergeCell ref="D50:E50"/>
    <mergeCell ref="F50:G50"/>
    <mergeCell ref="H50:I50"/>
    <mergeCell ref="J50:K50"/>
    <mergeCell ref="L50:M50"/>
    <mergeCell ref="N50:O50"/>
    <mergeCell ref="B51:C51"/>
    <mergeCell ref="D51:E51"/>
    <mergeCell ref="F51:G51"/>
    <mergeCell ref="H51:I51"/>
    <mergeCell ref="J51:K51"/>
    <mergeCell ref="L51:M51"/>
    <mergeCell ref="N51:O51"/>
    <mergeCell ref="B55:C55"/>
    <mergeCell ref="D55:E55"/>
    <mergeCell ref="F55:G55"/>
    <mergeCell ref="H55:I55"/>
    <mergeCell ref="J55:K55"/>
    <mergeCell ref="L55:M55"/>
    <mergeCell ref="N55:O55"/>
    <mergeCell ref="B56:C56"/>
    <mergeCell ref="D56:E56"/>
    <mergeCell ref="F56:G56"/>
    <mergeCell ref="H56:I56"/>
    <mergeCell ref="J56:K56"/>
    <mergeCell ref="L56:M56"/>
    <mergeCell ref="N56:O56"/>
    <mergeCell ref="B60:C60"/>
    <mergeCell ref="D60:E60"/>
    <mergeCell ref="F60:G60"/>
    <mergeCell ref="H60:I60"/>
    <mergeCell ref="J60:K60"/>
    <mergeCell ref="L60:M60"/>
    <mergeCell ref="N60:O60"/>
    <mergeCell ref="B61:C61"/>
    <mergeCell ref="D61:E61"/>
    <mergeCell ref="F61:G61"/>
    <mergeCell ref="H61:I61"/>
    <mergeCell ref="J61:K61"/>
    <mergeCell ref="L61:M61"/>
    <mergeCell ref="N61:O61"/>
    <mergeCell ref="B65:C65"/>
    <mergeCell ref="D65:E65"/>
    <mergeCell ref="F65:G65"/>
    <mergeCell ref="J65:K65"/>
    <mergeCell ref="L65:M65"/>
    <mergeCell ref="N65:O65"/>
    <mergeCell ref="B66:C66"/>
    <mergeCell ref="D66:E66"/>
    <mergeCell ref="F66:G66"/>
    <mergeCell ref="J66:K66"/>
    <mergeCell ref="L66:M66"/>
    <mergeCell ref="N66:O66"/>
    <mergeCell ref="B70:C70"/>
    <mergeCell ref="D70:E70"/>
    <mergeCell ref="F70:G70"/>
    <mergeCell ref="H70:I70"/>
    <mergeCell ref="L70:M70"/>
    <mergeCell ref="N70:O70"/>
    <mergeCell ref="B71:C71"/>
    <mergeCell ref="D71:E71"/>
    <mergeCell ref="F71:G71"/>
    <mergeCell ref="H71:I71"/>
    <mergeCell ref="L71:M71"/>
    <mergeCell ref="N71:O71"/>
    <mergeCell ref="B75:C75"/>
    <mergeCell ref="D75:E75"/>
    <mergeCell ref="F75:G75"/>
    <mergeCell ref="H75:I75"/>
    <mergeCell ref="J75:K75"/>
    <mergeCell ref="L75:M75"/>
    <mergeCell ref="N75:O75"/>
    <mergeCell ref="B76:C76"/>
    <mergeCell ref="D76:E76"/>
    <mergeCell ref="F76:G76"/>
    <mergeCell ref="H76:I76"/>
    <mergeCell ref="J76:K76"/>
    <mergeCell ref="L76:M76"/>
    <mergeCell ref="N76:O76"/>
    <mergeCell ref="B80:C80"/>
    <mergeCell ref="D80:E80"/>
    <mergeCell ref="F80:G80"/>
    <mergeCell ref="H80:I80"/>
    <mergeCell ref="J80:K80"/>
    <mergeCell ref="L80:M80"/>
    <mergeCell ref="N80:O80"/>
    <mergeCell ref="B81:C81"/>
    <mergeCell ref="D81:E81"/>
    <mergeCell ref="F81:G81"/>
    <mergeCell ref="H81:I81"/>
    <mergeCell ref="J81:K81"/>
    <mergeCell ref="L81:M81"/>
    <mergeCell ref="N81:O81"/>
    <mergeCell ref="B85:C85"/>
    <mergeCell ref="D85:E85"/>
    <mergeCell ref="F85:G85"/>
    <mergeCell ref="H85:I85"/>
    <mergeCell ref="J85:K85"/>
    <mergeCell ref="L85:M85"/>
    <mergeCell ref="N85:O85"/>
    <mergeCell ref="B86:C86"/>
    <mergeCell ref="D86:E86"/>
    <mergeCell ref="F86:G86"/>
    <mergeCell ref="H86:I86"/>
    <mergeCell ref="J86:K86"/>
    <mergeCell ref="L86:M86"/>
    <mergeCell ref="N86:O86"/>
    <mergeCell ref="B90:C90"/>
    <mergeCell ref="D90:E90"/>
    <mergeCell ref="F90:G90"/>
    <mergeCell ref="H90:I90"/>
    <mergeCell ref="J90:K90"/>
    <mergeCell ref="L90:M90"/>
    <mergeCell ref="N90:O90"/>
    <mergeCell ref="D91:E91"/>
    <mergeCell ref="F91:G91"/>
    <mergeCell ref="H91:I91"/>
    <mergeCell ref="J91:K91"/>
    <mergeCell ref="L91:M91"/>
    <mergeCell ref="B93:C93"/>
    <mergeCell ref="D93:E93"/>
    <mergeCell ref="F93:G93"/>
    <mergeCell ref="H93:I93"/>
    <mergeCell ref="J93:K93"/>
    <mergeCell ref="L93:M93"/>
    <mergeCell ref="N93:O93"/>
    <mergeCell ref="B94:C94"/>
    <mergeCell ref="D94:E94"/>
    <mergeCell ref="F94:G94"/>
    <mergeCell ref="H94:I94"/>
    <mergeCell ref="J94:K94"/>
    <mergeCell ref="L94:M94"/>
    <mergeCell ref="N94:O94"/>
  </mergeCells>
  <printOptions headings="false" gridLines="false" gridLinesSet="true" horizontalCentered="true" verticalCentered="true"/>
  <pageMargins left="0.590277777777778" right="0.433333333333333" top="0.551388888888889" bottom="0.590972222222222" header="0.511805555555555" footer="0.315277777777778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&amp;R&amp;12Printed &amp;D &amp;T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55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C43" activeCellId="0" sqref="C43"/>
    </sheetView>
  </sheetViews>
  <sheetFormatPr defaultColWidth="8.7421875" defaultRowHeight="12.8" zeroHeight="false" outlineLevelRow="0" outlineLevelCol="0"/>
  <cols>
    <col collapsed="false" customWidth="true" hidden="false" outlineLevel="0" max="1" min="1" style="0" width="11.86"/>
    <col collapsed="false" customWidth="true" hidden="false" outlineLevel="0" max="2" min="2" style="0" width="16.57"/>
    <col collapsed="false" customWidth="true" hidden="false" outlineLevel="0" max="14" min="3" style="0" width="11.86"/>
    <col collapsed="false" customWidth="true" hidden="false" outlineLevel="0" max="1024" min="1023" style="0" width="11.52"/>
  </cols>
  <sheetData>
    <row r="1" customFormat="false" ht="23.25" hidden="false" customHeight="true" outlineLevel="0" collapsed="false">
      <c r="A1" s="73" t="s">
        <v>69</v>
      </c>
      <c r="B1" s="74"/>
      <c r="C1" s="75" t="s">
        <v>69</v>
      </c>
      <c r="D1" s="74" t="s">
        <v>69</v>
      </c>
      <c r="E1" s="75" t="s">
        <v>69</v>
      </c>
      <c r="F1" s="74" t="s">
        <v>69</v>
      </c>
      <c r="G1" s="76" t="n">
        <v>0.191666666666667</v>
      </c>
      <c r="H1" s="77" t="n">
        <v>0.513194444444444</v>
      </c>
      <c r="I1" s="78" t="n">
        <v>0.208333333333333</v>
      </c>
      <c r="J1" s="79" t="n">
        <v>0.541666666666667</v>
      </c>
      <c r="K1" s="76" t="n">
        <v>0.191666666666667</v>
      </c>
      <c r="L1" s="77" t="n">
        <v>0.513194444444444</v>
      </c>
      <c r="M1" s="76" t="n">
        <v>0.243055555555556</v>
      </c>
      <c r="N1" s="77" t="n">
        <v>0.5875</v>
      </c>
    </row>
    <row r="2" customFormat="false" ht="23.25" hidden="false" customHeight="true" outlineLevel="0" collapsed="false">
      <c r="A2" s="80" t="s">
        <v>69</v>
      </c>
      <c r="B2" s="81" t="s">
        <v>69</v>
      </c>
      <c r="C2" s="82" t="s">
        <v>69</v>
      </c>
      <c r="D2" s="81" t="s">
        <v>69</v>
      </c>
      <c r="E2" s="82" t="s">
        <v>69</v>
      </c>
      <c r="F2" s="81" t="s">
        <v>69</v>
      </c>
      <c r="G2" s="83" t="s">
        <v>70</v>
      </c>
      <c r="H2" s="84"/>
      <c r="I2" s="82" t="s">
        <v>69</v>
      </c>
      <c r="J2" s="85" t="s">
        <v>69</v>
      </c>
      <c r="K2" s="83" t="s">
        <v>70</v>
      </c>
      <c r="L2" s="84"/>
      <c r="M2" s="83" t="s">
        <v>71</v>
      </c>
      <c r="N2" s="84"/>
    </row>
    <row r="3" customFormat="false" ht="23.25" hidden="false" customHeight="true" outlineLevel="0" collapsed="false">
      <c r="A3" s="86" t="s">
        <v>72</v>
      </c>
      <c r="B3" s="86"/>
      <c r="C3" s="87" t="s">
        <v>72</v>
      </c>
      <c r="D3" s="87"/>
      <c r="E3" s="87" t="s">
        <v>23</v>
      </c>
      <c r="F3" s="87"/>
      <c r="G3" s="88" t="s">
        <v>73</v>
      </c>
      <c r="H3" s="88"/>
      <c r="I3" s="87" t="s">
        <v>74</v>
      </c>
      <c r="J3" s="87"/>
      <c r="K3" s="88" t="s">
        <v>73</v>
      </c>
      <c r="L3" s="88"/>
      <c r="M3" s="89" t="s">
        <v>75</v>
      </c>
      <c r="N3" s="89"/>
    </row>
    <row r="4" customFormat="false" ht="23.25" hidden="false" customHeight="true" outlineLevel="0" collapsed="false">
      <c r="A4" s="86" t="s">
        <v>69</v>
      </c>
      <c r="B4" s="86"/>
      <c r="C4" s="87" t="s">
        <v>69</v>
      </c>
      <c r="D4" s="87"/>
      <c r="E4" s="87" t="s">
        <v>69</v>
      </c>
      <c r="F4" s="87"/>
      <c r="G4" s="90"/>
      <c r="H4" s="90"/>
      <c r="I4" s="87" t="s">
        <v>69</v>
      </c>
      <c r="J4" s="87"/>
      <c r="K4" s="90"/>
      <c r="L4" s="90"/>
      <c r="M4" s="90"/>
      <c r="N4" s="90"/>
    </row>
    <row r="5" customFormat="false" ht="23.25" hidden="false" customHeight="true" outlineLevel="0" collapsed="false">
      <c r="A5" s="91" t="s">
        <v>69</v>
      </c>
      <c r="B5" s="92" t="n">
        <v>0</v>
      </c>
      <c r="C5" s="93" t="s">
        <v>69</v>
      </c>
      <c r="D5" s="92" t="n">
        <v>0</v>
      </c>
      <c r="E5" s="93" t="s">
        <v>69</v>
      </c>
      <c r="F5" s="92" t="n">
        <v>0.333333333333333</v>
      </c>
      <c r="G5" s="93" t="s">
        <v>69</v>
      </c>
      <c r="H5" s="92" t="n">
        <v>0.321527777777778</v>
      </c>
      <c r="I5" s="93" t="s">
        <v>69</v>
      </c>
      <c r="J5" s="92" t="n">
        <v>0.333333333333333</v>
      </c>
      <c r="K5" s="93" t="s">
        <v>69</v>
      </c>
      <c r="L5" s="92" t="n">
        <v>0.321527777777778</v>
      </c>
      <c r="M5" s="93" t="s">
        <v>69</v>
      </c>
      <c r="N5" s="92" t="n">
        <v>0.344444444444444</v>
      </c>
    </row>
    <row r="6" customFormat="false" ht="23.25" hidden="false" customHeight="true" outlineLevel="0" collapsed="false">
      <c r="A6" s="76" t="n">
        <v>0.272916666666667</v>
      </c>
      <c r="B6" s="77" t="n">
        <v>0.5875</v>
      </c>
      <c r="C6" s="76" t="n">
        <v>0.215972222222222</v>
      </c>
      <c r="D6" s="77" t="n">
        <v>0.598611111111111</v>
      </c>
      <c r="E6" s="76" t="n">
        <v>0.191666666666667</v>
      </c>
      <c r="F6" s="77" t="n">
        <v>0.513194444444444</v>
      </c>
      <c r="G6" s="94"/>
      <c r="H6" s="94"/>
      <c r="I6" s="76" t="n">
        <v>0.191666666666667</v>
      </c>
      <c r="J6" s="77" t="n">
        <v>0.513194444444444</v>
      </c>
      <c r="K6" s="76" t="n">
        <v>0.276388888888889</v>
      </c>
      <c r="L6" s="77" t="n">
        <v>0.56875</v>
      </c>
      <c r="M6" s="75" t="s">
        <v>69</v>
      </c>
      <c r="N6" s="74" t="s">
        <v>69</v>
      </c>
    </row>
    <row r="7" customFormat="false" ht="23.25" hidden="false" customHeight="true" outlineLevel="0" collapsed="false">
      <c r="A7" s="83" t="s">
        <v>76</v>
      </c>
      <c r="B7" s="84"/>
      <c r="C7" s="83" t="s">
        <v>77</v>
      </c>
      <c r="D7" s="84"/>
      <c r="E7" s="83" t="s">
        <v>70</v>
      </c>
      <c r="F7" s="84"/>
      <c r="G7" s="94"/>
      <c r="H7" s="94"/>
      <c r="I7" s="83" t="s">
        <v>70</v>
      </c>
      <c r="J7" s="84"/>
      <c r="K7" s="83" t="s">
        <v>78</v>
      </c>
      <c r="L7" s="95" t="s">
        <v>79</v>
      </c>
      <c r="M7" s="82" t="s">
        <v>69</v>
      </c>
      <c r="N7" s="85" t="s">
        <v>69</v>
      </c>
    </row>
    <row r="8" customFormat="false" ht="23.25" hidden="false" customHeight="true" outlineLevel="0" collapsed="false">
      <c r="A8" s="89" t="s">
        <v>80</v>
      </c>
      <c r="B8" s="89"/>
      <c r="C8" s="96" t="s">
        <v>81</v>
      </c>
      <c r="D8" s="96"/>
      <c r="E8" s="88" t="s">
        <v>73</v>
      </c>
      <c r="F8" s="88"/>
      <c r="G8" s="87" t="s">
        <v>72</v>
      </c>
      <c r="H8" s="87"/>
      <c r="I8" s="88" t="s">
        <v>73</v>
      </c>
      <c r="J8" s="88"/>
      <c r="K8" s="97"/>
      <c r="L8" s="97"/>
      <c r="M8" s="87" t="s">
        <v>72</v>
      </c>
      <c r="N8" s="87"/>
    </row>
    <row r="9" customFormat="false" ht="23.25" hidden="false" customHeight="true" outlineLevel="0" collapsed="false">
      <c r="A9" s="86" t="s">
        <v>69</v>
      </c>
      <c r="B9" s="86"/>
      <c r="C9" s="90"/>
      <c r="D9" s="90"/>
      <c r="E9" s="90"/>
      <c r="F9" s="90"/>
      <c r="G9" s="94"/>
      <c r="H9" s="94"/>
      <c r="I9" s="90"/>
      <c r="J9" s="90"/>
      <c r="K9" s="90"/>
      <c r="L9" s="90"/>
      <c r="M9" s="87" t="s">
        <v>69</v>
      </c>
      <c r="N9" s="87"/>
    </row>
    <row r="10" customFormat="false" ht="23.25" hidden="false" customHeight="true" outlineLevel="0" collapsed="false">
      <c r="A10" s="91" t="s">
        <v>69</v>
      </c>
      <c r="B10" s="92" t="n">
        <v>0.314583333333333</v>
      </c>
      <c r="C10" s="93" t="s">
        <v>69</v>
      </c>
      <c r="D10" s="92" t="n">
        <v>0.382638888888889</v>
      </c>
      <c r="E10" s="93" t="s">
        <v>69</v>
      </c>
      <c r="F10" s="92" t="n">
        <v>0.321527777777778</v>
      </c>
      <c r="G10" s="93" t="s">
        <v>69</v>
      </c>
      <c r="H10" s="92" t="n">
        <v>0</v>
      </c>
      <c r="I10" s="93" t="s">
        <v>69</v>
      </c>
      <c r="J10" s="92" t="n">
        <v>0.321527777777778</v>
      </c>
      <c r="K10" s="93" t="s">
        <v>69</v>
      </c>
      <c r="L10" s="92" t="n">
        <v>0.292361111111111</v>
      </c>
      <c r="M10" s="93" t="s">
        <v>69</v>
      </c>
      <c r="N10" s="92" t="n">
        <v>0</v>
      </c>
    </row>
    <row r="11" customFormat="false" ht="23.25" hidden="false" customHeight="true" outlineLevel="0" collapsed="false">
      <c r="A11" s="73" t="s">
        <v>69</v>
      </c>
      <c r="B11" s="74" t="s">
        <v>69</v>
      </c>
      <c r="C11" s="78" t="n">
        <v>0.208333333333333</v>
      </c>
      <c r="D11" s="79" t="n">
        <v>0.541666666666667</v>
      </c>
      <c r="E11" s="78" t="n">
        <v>0.208333333333333</v>
      </c>
      <c r="F11" s="79" t="n">
        <v>0.541666666666667</v>
      </c>
      <c r="G11" s="76" t="n">
        <v>0.325694444444444</v>
      </c>
      <c r="H11" s="77" t="n">
        <v>0.734027777777778</v>
      </c>
      <c r="I11" s="75" t="s">
        <v>69</v>
      </c>
      <c r="J11" s="74" t="s">
        <v>69</v>
      </c>
      <c r="K11" s="76" t="n">
        <v>0.338194444444444</v>
      </c>
      <c r="L11" s="77" t="n">
        <v>0.64375</v>
      </c>
      <c r="M11" s="76" t="n">
        <v>0.338194444444444</v>
      </c>
      <c r="N11" s="77" t="n">
        <v>0.64375</v>
      </c>
    </row>
    <row r="12" customFormat="false" ht="23.25" hidden="false" customHeight="true" outlineLevel="0" collapsed="false">
      <c r="A12" s="80" t="s">
        <v>69</v>
      </c>
      <c r="B12" s="81" t="s">
        <v>69</v>
      </c>
      <c r="C12" s="82" t="s">
        <v>69</v>
      </c>
      <c r="D12" s="81" t="s">
        <v>69</v>
      </c>
      <c r="E12" s="82" t="s">
        <v>69</v>
      </c>
      <c r="F12" s="81" t="s">
        <v>69</v>
      </c>
      <c r="G12" s="83" t="s">
        <v>82</v>
      </c>
      <c r="H12" s="84"/>
      <c r="I12" s="82" t="s">
        <v>69</v>
      </c>
      <c r="J12" s="81" t="s">
        <v>69</v>
      </c>
      <c r="K12" s="83" t="s">
        <v>83</v>
      </c>
      <c r="L12" s="95" t="s">
        <v>84</v>
      </c>
      <c r="M12" s="83" t="s">
        <v>85</v>
      </c>
      <c r="N12" s="98" t="s">
        <v>84</v>
      </c>
    </row>
    <row r="13" customFormat="false" ht="23.25" hidden="false" customHeight="true" outlineLevel="0" collapsed="false">
      <c r="A13" s="86" t="s">
        <v>72</v>
      </c>
      <c r="B13" s="86"/>
      <c r="C13" s="87" t="s">
        <v>74</v>
      </c>
      <c r="D13" s="87"/>
      <c r="E13" s="87" t="s">
        <v>74</v>
      </c>
      <c r="F13" s="87"/>
      <c r="G13" s="89" t="s">
        <v>86</v>
      </c>
      <c r="H13" s="89"/>
      <c r="I13" s="87" t="s">
        <v>72</v>
      </c>
      <c r="J13" s="87"/>
      <c r="K13" s="96" t="s">
        <v>87</v>
      </c>
      <c r="L13" s="96"/>
      <c r="M13" s="97"/>
      <c r="N13" s="97"/>
    </row>
    <row r="14" customFormat="false" ht="23.25" hidden="false" customHeight="true" outlineLevel="0" collapsed="false">
      <c r="A14" s="86" t="s">
        <v>88</v>
      </c>
      <c r="B14" s="86"/>
      <c r="C14" s="87" t="s">
        <v>69</v>
      </c>
      <c r="D14" s="87"/>
      <c r="E14" s="87" t="s">
        <v>89</v>
      </c>
      <c r="F14" s="87"/>
      <c r="G14" s="87" t="s">
        <v>69</v>
      </c>
      <c r="H14" s="87"/>
      <c r="I14" s="87" t="s">
        <v>69</v>
      </c>
      <c r="J14" s="87"/>
      <c r="K14" s="87" t="s">
        <v>69</v>
      </c>
      <c r="L14" s="87"/>
      <c r="M14" s="90"/>
      <c r="N14" s="90"/>
    </row>
    <row r="15" customFormat="false" ht="23.25" hidden="false" customHeight="true" outlineLevel="0" collapsed="false">
      <c r="A15" s="91" t="s">
        <v>69</v>
      </c>
      <c r="B15" s="92" t="n">
        <v>0</v>
      </c>
      <c r="C15" s="93" t="s">
        <v>69</v>
      </c>
      <c r="D15" s="92" t="n">
        <v>0.333333333333333</v>
      </c>
      <c r="E15" s="93" t="s">
        <v>69</v>
      </c>
      <c r="F15" s="92" t="n">
        <v>0.333333333333333</v>
      </c>
      <c r="G15" s="93" t="s">
        <v>69</v>
      </c>
      <c r="H15" s="92" t="n">
        <v>0.408333333333333</v>
      </c>
      <c r="I15" s="93" t="s">
        <v>69</v>
      </c>
      <c r="J15" s="92" t="n">
        <v>0</v>
      </c>
      <c r="K15" s="93" t="s">
        <v>69</v>
      </c>
      <c r="L15" s="92" t="n">
        <v>0.305555555555555</v>
      </c>
      <c r="M15" s="93" t="s">
        <v>69</v>
      </c>
      <c r="N15" s="92" t="n">
        <v>0.305555555555555</v>
      </c>
    </row>
    <row r="16" customFormat="false" ht="23.25" hidden="false" customHeight="true" outlineLevel="0" collapsed="false">
      <c r="A16" s="76" t="n">
        <v>0.338194444444444</v>
      </c>
      <c r="B16" s="77" t="n">
        <v>0.64375</v>
      </c>
      <c r="C16" s="76" t="n">
        <v>0.276388888888889</v>
      </c>
      <c r="D16" s="77" t="n">
        <v>0.56875</v>
      </c>
      <c r="E16" s="94"/>
      <c r="F16" s="94"/>
      <c r="G16" s="76" t="n">
        <v>0.215972222222222</v>
      </c>
      <c r="H16" s="77" t="n">
        <v>0.598611111111111</v>
      </c>
      <c r="I16" s="76" t="n">
        <v>0.338194444444444</v>
      </c>
      <c r="J16" s="77" t="n">
        <v>0.64375</v>
      </c>
      <c r="K16" s="76" t="n">
        <v>0.325694444444444</v>
      </c>
      <c r="L16" s="77" t="n">
        <v>0.734027777777778</v>
      </c>
      <c r="M16" s="75" t="s">
        <v>69</v>
      </c>
      <c r="N16" s="74" t="s">
        <v>69</v>
      </c>
    </row>
    <row r="17" customFormat="false" ht="23.25" hidden="false" customHeight="true" outlineLevel="0" collapsed="false">
      <c r="A17" s="83" t="s">
        <v>90</v>
      </c>
      <c r="B17" s="99" t="s">
        <v>84</v>
      </c>
      <c r="C17" s="83" t="s">
        <v>78</v>
      </c>
      <c r="D17" s="95" t="s">
        <v>79</v>
      </c>
      <c r="E17" s="94"/>
      <c r="F17" s="94"/>
      <c r="G17" s="83" t="s">
        <v>77</v>
      </c>
      <c r="H17" s="84"/>
      <c r="I17" s="83" t="s">
        <v>83</v>
      </c>
      <c r="J17" s="95" t="s">
        <v>84</v>
      </c>
      <c r="K17" s="83" t="s">
        <v>82</v>
      </c>
      <c r="L17" s="84"/>
      <c r="M17" s="82" t="s">
        <v>69</v>
      </c>
      <c r="N17" s="81" t="s">
        <v>69</v>
      </c>
    </row>
    <row r="18" customFormat="false" ht="23.25" hidden="false" customHeight="true" outlineLevel="0" collapsed="false">
      <c r="A18" s="89" t="s">
        <v>91</v>
      </c>
      <c r="B18" s="89"/>
      <c r="C18" s="97"/>
      <c r="D18" s="97"/>
      <c r="E18" s="87" t="s">
        <v>72</v>
      </c>
      <c r="F18" s="87"/>
      <c r="G18" s="96" t="s">
        <v>81</v>
      </c>
      <c r="H18" s="96"/>
      <c r="I18" s="96" t="s">
        <v>87</v>
      </c>
      <c r="J18" s="96"/>
      <c r="K18" s="89" t="s">
        <v>86</v>
      </c>
      <c r="L18" s="89"/>
      <c r="M18" s="87" t="s">
        <v>72</v>
      </c>
      <c r="N18" s="87"/>
    </row>
    <row r="19" customFormat="false" ht="23.25" hidden="false" customHeight="true" outlineLevel="0" collapsed="false">
      <c r="A19" s="86" t="s">
        <v>69</v>
      </c>
      <c r="B19" s="86"/>
      <c r="C19" s="90"/>
      <c r="D19" s="90"/>
      <c r="E19" s="86" t="s">
        <v>69</v>
      </c>
      <c r="F19" s="86"/>
      <c r="G19" s="90"/>
      <c r="H19" s="90"/>
      <c r="I19" s="87" t="s">
        <v>69</v>
      </c>
      <c r="J19" s="87"/>
      <c r="K19" s="87" t="s">
        <v>69</v>
      </c>
      <c r="L19" s="87"/>
      <c r="M19" s="87" t="s">
        <v>69</v>
      </c>
      <c r="N19" s="87"/>
    </row>
    <row r="20" customFormat="false" ht="23.25" hidden="false" customHeight="true" outlineLevel="0" collapsed="false">
      <c r="A20" s="91" t="s">
        <v>69</v>
      </c>
      <c r="B20" s="92" t="n">
        <v>0.305555555555555</v>
      </c>
      <c r="C20" s="93" t="s">
        <v>69</v>
      </c>
      <c r="D20" s="92" t="n">
        <v>0.292361111111111</v>
      </c>
      <c r="E20" s="93" t="s">
        <v>69</v>
      </c>
      <c r="F20" s="92" t="n">
        <v>0</v>
      </c>
      <c r="G20" s="93" t="s">
        <v>69</v>
      </c>
      <c r="H20" s="92" t="n">
        <v>0.382638888888889</v>
      </c>
      <c r="I20" s="93" t="s">
        <v>69</v>
      </c>
      <c r="J20" s="92" t="n">
        <v>0.305555555555555</v>
      </c>
      <c r="K20" s="93" t="s">
        <v>69</v>
      </c>
      <c r="L20" s="92" t="n">
        <v>0.408333333333333</v>
      </c>
      <c r="M20" s="93" t="s">
        <v>69</v>
      </c>
      <c r="N20" s="92" t="n">
        <v>0</v>
      </c>
    </row>
    <row r="21" customFormat="false" ht="23.25" hidden="false" customHeight="true" outlineLevel="0" collapsed="false">
      <c r="A21" s="73" t="s">
        <v>69</v>
      </c>
      <c r="B21" s="74" t="s">
        <v>69</v>
      </c>
      <c r="C21" s="75" t="s">
        <v>69</v>
      </c>
      <c r="D21" s="74" t="s">
        <v>69</v>
      </c>
      <c r="E21" s="75" t="s">
        <v>69</v>
      </c>
      <c r="F21" s="74" t="s">
        <v>69</v>
      </c>
      <c r="G21" s="78" t="n">
        <v>0.338194444444444</v>
      </c>
      <c r="H21" s="79" t="n">
        <v>0.64375</v>
      </c>
      <c r="I21" s="78" t="n">
        <v>0.583333333333333</v>
      </c>
      <c r="J21" s="79" t="n">
        <v>0.916666666666667</v>
      </c>
      <c r="K21" s="78" t="n">
        <v>0.583333333333333</v>
      </c>
      <c r="L21" s="78" t="n">
        <v>0.916666666666667</v>
      </c>
      <c r="M21" s="76" t="n">
        <v>0.811805555555556</v>
      </c>
      <c r="N21" s="77" t="n">
        <v>1.06805555555556</v>
      </c>
    </row>
    <row r="22" customFormat="false" ht="23.25" hidden="false" customHeight="true" outlineLevel="0" collapsed="false">
      <c r="A22" s="80" t="s">
        <v>69</v>
      </c>
      <c r="B22" s="85" t="s">
        <v>69</v>
      </c>
      <c r="C22" s="82" t="s">
        <v>69</v>
      </c>
      <c r="D22" s="81" t="s">
        <v>69</v>
      </c>
      <c r="E22" s="82" t="s">
        <v>69</v>
      </c>
      <c r="F22" s="81" t="s">
        <v>69</v>
      </c>
      <c r="G22" s="82" t="s">
        <v>83</v>
      </c>
      <c r="H22" s="85" t="s">
        <v>92</v>
      </c>
      <c r="I22" s="82" t="s">
        <v>69</v>
      </c>
      <c r="J22" s="85" t="s">
        <v>69</v>
      </c>
      <c r="K22" s="82"/>
      <c r="L22" s="100"/>
      <c r="M22" s="83" t="s">
        <v>93</v>
      </c>
      <c r="N22" s="99" t="s">
        <v>94</v>
      </c>
    </row>
    <row r="23" customFormat="false" ht="23.25" hidden="false" customHeight="true" outlineLevel="0" collapsed="false">
      <c r="A23" s="86" t="s">
        <v>72</v>
      </c>
      <c r="B23" s="86"/>
      <c r="C23" s="87" t="s">
        <v>72</v>
      </c>
      <c r="D23" s="87"/>
      <c r="E23" s="87" t="s">
        <v>23</v>
      </c>
      <c r="F23" s="87"/>
      <c r="G23" s="87" t="s">
        <v>69</v>
      </c>
      <c r="H23" s="87"/>
      <c r="I23" s="87" t="s">
        <v>74</v>
      </c>
      <c r="J23" s="87"/>
      <c r="K23" s="101" t="s">
        <v>74</v>
      </c>
      <c r="L23" s="101"/>
      <c r="M23" s="97"/>
      <c r="N23" s="97"/>
    </row>
    <row r="24" customFormat="false" ht="23.25" hidden="false" customHeight="true" outlineLevel="0" collapsed="false">
      <c r="A24" s="86" t="s">
        <v>69</v>
      </c>
      <c r="B24" s="86"/>
      <c r="C24" s="87" t="s">
        <v>69</v>
      </c>
      <c r="D24" s="87"/>
      <c r="E24" s="87" t="s">
        <v>69</v>
      </c>
      <c r="F24" s="87"/>
      <c r="G24" s="87" t="s">
        <v>69</v>
      </c>
      <c r="H24" s="87"/>
      <c r="I24" s="87" t="s">
        <v>69</v>
      </c>
      <c r="J24" s="87"/>
      <c r="K24" s="101" t="s">
        <v>69</v>
      </c>
      <c r="L24" s="101"/>
      <c r="M24" s="86" t="s">
        <v>69</v>
      </c>
      <c r="N24" s="86"/>
    </row>
    <row r="25" customFormat="false" ht="23.25" hidden="false" customHeight="true" outlineLevel="0" collapsed="false">
      <c r="A25" s="91" t="s">
        <v>69</v>
      </c>
      <c r="B25" s="92" t="n">
        <v>0</v>
      </c>
      <c r="C25" s="93" t="s">
        <v>69</v>
      </c>
      <c r="D25" s="92" t="n">
        <v>0</v>
      </c>
      <c r="E25" s="93" t="s">
        <v>69</v>
      </c>
      <c r="F25" s="92" t="n">
        <v>0.333333333333333</v>
      </c>
      <c r="G25" s="93" t="s">
        <v>69</v>
      </c>
      <c r="H25" s="92" t="n">
        <v>0.305555555555555</v>
      </c>
      <c r="I25" s="93" t="s">
        <v>69</v>
      </c>
      <c r="J25" s="92" t="n">
        <v>0.333333333333333</v>
      </c>
      <c r="K25" s="93" t="s">
        <v>69</v>
      </c>
      <c r="L25" s="102" t="n">
        <v>0.333333333333333</v>
      </c>
      <c r="M25" s="91" t="s">
        <v>69</v>
      </c>
      <c r="N25" s="92" t="n">
        <v>0.25625</v>
      </c>
    </row>
    <row r="26" customFormat="false" ht="23.25" hidden="false" customHeight="true" outlineLevel="0" collapsed="false">
      <c r="A26" s="76" t="n">
        <v>0.580555555555556</v>
      </c>
      <c r="B26" s="77" t="n">
        <v>0.943055555555556</v>
      </c>
      <c r="C26" s="78" t="n">
        <v>0.583333333333333</v>
      </c>
      <c r="D26" s="79" t="n">
        <v>0.916666666666667</v>
      </c>
      <c r="E26" s="75" t="s">
        <v>69</v>
      </c>
      <c r="F26" s="74" t="s">
        <v>69</v>
      </c>
      <c r="G26" s="76" t="n">
        <v>0.629861111111111</v>
      </c>
      <c r="H26" s="77" t="n">
        <v>0.879861111111111</v>
      </c>
      <c r="I26" s="78" t="n">
        <v>0.543055555555555</v>
      </c>
      <c r="J26" s="79" t="n">
        <v>0.8375</v>
      </c>
      <c r="K26" s="76" t="n">
        <v>0.572916666666667</v>
      </c>
      <c r="L26" s="77" t="n">
        <v>0.915277777777778</v>
      </c>
      <c r="M26" s="75" t="s">
        <v>69</v>
      </c>
      <c r="N26" s="74" t="s">
        <v>69</v>
      </c>
    </row>
    <row r="27" customFormat="false" ht="23.25" hidden="false" customHeight="true" outlineLevel="0" collapsed="false">
      <c r="A27" s="83" t="s">
        <v>95</v>
      </c>
      <c r="B27" s="84"/>
      <c r="C27" s="82" t="s">
        <v>69</v>
      </c>
      <c r="D27" s="85" t="s">
        <v>69</v>
      </c>
      <c r="E27" s="82" t="s">
        <v>69</v>
      </c>
      <c r="F27" s="85" t="s">
        <v>69</v>
      </c>
      <c r="G27" s="83" t="s">
        <v>96</v>
      </c>
      <c r="H27" s="95" t="s">
        <v>97</v>
      </c>
      <c r="I27" s="82" t="s">
        <v>98</v>
      </c>
      <c r="J27" s="85" t="s">
        <v>99</v>
      </c>
      <c r="K27" s="83" t="s">
        <v>100</v>
      </c>
      <c r="L27" s="84"/>
      <c r="M27" s="82" t="s">
        <v>69</v>
      </c>
      <c r="N27" s="81" t="s">
        <v>69</v>
      </c>
    </row>
    <row r="28" customFormat="false" ht="23.25" hidden="false" customHeight="true" outlineLevel="0" collapsed="false">
      <c r="A28" s="96" t="s">
        <v>101</v>
      </c>
      <c r="B28" s="96"/>
      <c r="C28" s="87" t="s">
        <v>74</v>
      </c>
      <c r="D28" s="87"/>
      <c r="E28" s="87" t="s">
        <v>72</v>
      </c>
      <c r="F28" s="87"/>
      <c r="G28" s="97"/>
      <c r="H28" s="97"/>
      <c r="I28" s="87" t="s">
        <v>69</v>
      </c>
      <c r="J28" s="87"/>
      <c r="K28" s="96" t="s">
        <v>102</v>
      </c>
      <c r="L28" s="96"/>
      <c r="M28" s="87" t="s">
        <v>72</v>
      </c>
      <c r="N28" s="87"/>
    </row>
    <row r="29" customFormat="false" ht="23.25" hidden="false" customHeight="true" outlineLevel="0" collapsed="false">
      <c r="A29" s="86" t="s">
        <v>69</v>
      </c>
      <c r="B29" s="86"/>
      <c r="C29" s="87" t="s">
        <v>69</v>
      </c>
      <c r="D29" s="87"/>
      <c r="E29" s="87" t="s">
        <v>69</v>
      </c>
      <c r="F29" s="87"/>
      <c r="G29" s="87" t="s">
        <v>69</v>
      </c>
      <c r="H29" s="87"/>
      <c r="I29" s="87" t="s">
        <v>69</v>
      </c>
      <c r="J29" s="87"/>
      <c r="K29" s="87" t="s">
        <v>69</v>
      </c>
      <c r="L29" s="87"/>
      <c r="M29" s="87" t="s">
        <v>69</v>
      </c>
      <c r="N29" s="87"/>
    </row>
    <row r="30" customFormat="false" ht="23.25" hidden="false" customHeight="true" outlineLevel="0" collapsed="false">
      <c r="A30" s="91" t="s">
        <v>69</v>
      </c>
      <c r="B30" s="92" t="n">
        <v>0.3625</v>
      </c>
      <c r="C30" s="93" t="s">
        <v>69</v>
      </c>
      <c r="D30" s="92" t="n">
        <v>0.333333333333333</v>
      </c>
      <c r="E30" s="93" t="s">
        <v>69</v>
      </c>
      <c r="F30" s="92" t="n">
        <v>0</v>
      </c>
      <c r="G30" s="93" t="s">
        <v>69</v>
      </c>
      <c r="H30" s="92" t="n">
        <v>0.25</v>
      </c>
      <c r="I30" s="93" t="s">
        <v>69</v>
      </c>
      <c r="J30" s="92" t="n">
        <v>0.294444444444444</v>
      </c>
      <c r="K30" s="93" t="s">
        <v>69</v>
      </c>
      <c r="L30" s="92" t="n">
        <v>0.342361111111111</v>
      </c>
      <c r="M30" s="93" t="s">
        <v>69</v>
      </c>
      <c r="N30" s="92" t="n">
        <v>0</v>
      </c>
    </row>
    <row r="31" customFormat="false" ht="23.25" hidden="false" customHeight="true" outlineLevel="0" collapsed="false">
      <c r="A31" s="73" t="s">
        <v>69</v>
      </c>
      <c r="B31" s="74" t="s">
        <v>69</v>
      </c>
      <c r="C31" s="76" t="n">
        <v>0.629861111111111</v>
      </c>
      <c r="D31" s="77" t="n">
        <v>0.879861111111111</v>
      </c>
      <c r="E31" s="78" t="n">
        <v>0.543055555555555</v>
      </c>
      <c r="F31" s="79" t="n">
        <v>0.8375</v>
      </c>
      <c r="G31" s="94"/>
      <c r="H31" s="94"/>
      <c r="I31" s="76" t="n">
        <v>0.325694444444444</v>
      </c>
      <c r="J31" s="77" t="n">
        <v>0.734027777777778</v>
      </c>
      <c r="K31" s="78" t="n">
        <v>0.543055555555555</v>
      </c>
      <c r="L31" s="79" t="n">
        <v>0.8375</v>
      </c>
      <c r="M31" s="78" t="n">
        <v>0.543055555555555</v>
      </c>
      <c r="N31" s="79" t="n">
        <v>0.8375</v>
      </c>
    </row>
    <row r="32" customFormat="false" ht="23.25" hidden="false" customHeight="true" outlineLevel="0" collapsed="false">
      <c r="A32" s="80" t="s">
        <v>69</v>
      </c>
      <c r="B32" s="81" t="s">
        <v>69</v>
      </c>
      <c r="C32" s="83" t="s">
        <v>96</v>
      </c>
      <c r="D32" s="95" t="s">
        <v>97</v>
      </c>
      <c r="E32" s="82" t="s">
        <v>98</v>
      </c>
      <c r="F32" s="85" t="s">
        <v>99</v>
      </c>
      <c r="G32" s="94"/>
      <c r="H32" s="94"/>
      <c r="I32" s="83" t="s">
        <v>82</v>
      </c>
      <c r="J32" s="84"/>
      <c r="K32" s="82" t="s">
        <v>98</v>
      </c>
      <c r="L32" s="85" t="s">
        <v>99</v>
      </c>
      <c r="M32" s="82" t="s">
        <v>103</v>
      </c>
      <c r="N32" s="85" t="s">
        <v>99</v>
      </c>
    </row>
    <row r="33" customFormat="false" ht="23.25" hidden="false" customHeight="true" outlineLevel="0" collapsed="false">
      <c r="A33" s="86" t="s">
        <v>72</v>
      </c>
      <c r="B33" s="86"/>
      <c r="C33" s="97"/>
      <c r="D33" s="97"/>
      <c r="E33" s="87" t="s">
        <v>69</v>
      </c>
      <c r="F33" s="87"/>
      <c r="G33" s="87" t="s">
        <v>72</v>
      </c>
      <c r="H33" s="87"/>
      <c r="I33" s="89" t="s">
        <v>86</v>
      </c>
      <c r="J33" s="89"/>
      <c r="K33" s="87" t="s">
        <v>69</v>
      </c>
      <c r="L33" s="87"/>
      <c r="M33" s="87" t="s">
        <v>69</v>
      </c>
      <c r="N33" s="87"/>
    </row>
    <row r="34" customFormat="false" ht="23.25" hidden="false" customHeight="true" outlineLevel="0" collapsed="false">
      <c r="A34" s="86" t="s">
        <v>69</v>
      </c>
      <c r="B34" s="86"/>
      <c r="C34" s="87" t="s">
        <v>69</v>
      </c>
      <c r="D34" s="87"/>
      <c r="E34" s="87" t="s">
        <v>69</v>
      </c>
      <c r="F34" s="87"/>
      <c r="G34" s="94"/>
      <c r="H34" s="94"/>
      <c r="I34" s="86" t="s">
        <v>69</v>
      </c>
      <c r="J34" s="86"/>
      <c r="K34" s="87" t="s">
        <v>69</v>
      </c>
      <c r="L34" s="87"/>
      <c r="M34" s="87" t="s">
        <v>69</v>
      </c>
      <c r="N34" s="87"/>
    </row>
    <row r="35" customFormat="false" ht="23.25" hidden="false" customHeight="true" outlineLevel="0" collapsed="false">
      <c r="A35" s="91" t="s">
        <v>69</v>
      </c>
      <c r="B35" s="92" t="n">
        <v>0</v>
      </c>
      <c r="C35" s="93" t="s">
        <v>69</v>
      </c>
      <c r="D35" s="92" t="n">
        <v>0.25</v>
      </c>
      <c r="E35" s="93" t="s">
        <v>69</v>
      </c>
      <c r="F35" s="92" t="n">
        <v>0.294444444444444</v>
      </c>
      <c r="G35" s="93" t="s">
        <v>69</v>
      </c>
      <c r="H35" s="92" t="n">
        <v>0</v>
      </c>
      <c r="I35" s="93" t="s">
        <v>69</v>
      </c>
      <c r="J35" s="92" t="n">
        <v>0.408333333333333</v>
      </c>
      <c r="K35" s="93" t="s">
        <v>69</v>
      </c>
      <c r="L35" s="92" t="n">
        <v>0.294444444444444</v>
      </c>
      <c r="M35" s="93" t="s">
        <v>69</v>
      </c>
      <c r="N35" s="92" t="n">
        <v>0.294444444444444</v>
      </c>
    </row>
    <row r="36" customFormat="false" ht="23.25" hidden="false" customHeight="true" outlineLevel="0" collapsed="false">
      <c r="A36" s="76" t="n">
        <v>0.580555555555556</v>
      </c>
      <c r="B36" s="77" t="n">
        <v>0.924305555555556</v>
      </c>
      <c r="C36" s="78" t="n">
        <v>0.543055555555555</v>
      </c>
      <c r="D36" s="79" t="n">
        <v>0.8375</v>
      </c>
      <c r="E36" s="94"/>
      <c r="F36" s="94"/>
      <c r="G36" s="103" t="n">
        <v>0.583333333333333</v>
      </c>
      <c r="H36" s="79" t="n">
        <v>0.916666666666667</v>
      </c>
      <c r="I36" s="76" t="n">
        <v>0.629861111111111</v>
      </c>
      <c r="J36" s="77" t="n">
        <v>0.879861111111111</v>
      </c>
      <c r="K36" s="75" t="s">
        <v>69</v>
      </c>
      <c r="L36" s="74" t="s">
        <v>69</v>
      </c>
      <c r="M36" s="75" t="s">
        <v>69</v>
      </c>
      <c r="N36" s="74" t="s">
        <v>69</v>
      </c>
    </row>
    <row r="37" customFormat="false" ht="23.25" hidden="false" customHeight="true" outlineLevel="0" collapsed="false">
      <c r="A37" s="83" t="s">
        <v>104</v>
      </c>
      <c r="B37" s="95" t="s">
        <v>105</v>
      </c>
      <c r="C37" s="82" t="s">
        <v>98</v>
      </c>
      <c r="D37" s="85" t="s">
        <v>99</v>
      </c>
      <c r="E37" s="94"/>
      <c r="F37" s="94"/>
      <c r="G37" s="80" t="s">
        <v>69</v>
      </c>
      <c r="H37" s="85" t="s">
        <v>69</v>
      </c>
      <c r="I37" s="83" t="s">
        <v>96</v>
      </c>
      <c r="J37" s="95" t="s">
        <v>97</v>
      </c>
      <c r="K37" s="82" t="s">
        <v>69</v>
      </c>
      <c r="L37" s="85" t="s">
        <v>69</v>
      </c>
      <c r="M37" s="82" t="s">
        <v>69</v>
      </c>
      <c r="N37" s="81" t="s">
        <v>69</v>
      </c>
    </row>
    <row r="38" customFormat="false" ht="23.25" hidden="false" customHeight="true" outlineLevel="0" collapsed="false">
      <c r="A38" s="96" t="s">
        <v>106</v>
      </c>
      <c r="B38" s="96"/>
      <c r="C38" s="87" t="s">
        <v>69</v>
      </c>
      <c r="D38" s="87"/>
      <c r="E38" s="87" t="s">
        <v>72</v>
      </c>
      <c r="F38" s="87"/>
      <c r="G38" s="87" t="s">
        <v>74</v>
      </c>
      <c r="H38" s="87"/>
      <c r="I38" s="97"/>
      <c r="J38" s="97"/>
      <c r="K38" s="87" t="s">
        <v>23</v>
      </c>
      <c r="L38" s="87"/>
      <c r="M38" s="87" t="s">
        <v>72</v>
      </c>
      <c r="N38" s="87"/>
    </row>
    <row r="39" customFormat="false" ht="23.25" hidden="false" customHeight="true" outlineLevel="0" collapsed="false">
      <c r="A39" s="86" t="s">
        <v>69</v>
      </c>
      <c r="B39" s="86"/>
      <c r="C39" s="94"/>
      <c r="D39" s="94"/>
      <c r="E39" s="86" t="s">
        <v>69</v>
      </c>
      <c r="F39" s="86"/>
      <c r="G39" s="87" t="s">
        <v>69</v>
      </c>
      <c r="H39" s="87"/>
      <c r="I39" s="87" t="s">
        <v>69</v>
      </c>
      <c r="J39" s="87"/>
      <c r="K39" s="87" t="s">
        <v>69</v>
      </c>
      <c r="L39" s="87"/>
      <c r="M39" s="87" t="s">
        <v>69</v>
      </c>
      <c r="N39" s="87"/>
    </row>
    <row r="40" customFormat="false" ht="23.25" hidden="false" customHeight="true" outlineLevel="0" collapsed="false">
      <c r="A40" s="91" t="s">
        <v>69</v>
      </c>
      <c r="B40" s="92" t="n">
        <v>0.34375</v>
      </c>
      <c r="C40" s="93" t="s">
        <v>69</v>
      </c>
      <c r="D40" s="92" t="n">
        <v>0.294444444444444</v>
      </c>
      <c r="E40" s="93" t="s">
        <v>69</v>
      </c>
      <c r="F40" s="92" t="n">
        <v>0</v>
      </c>
      <c r="G40" s="93" t="s">
        <v>69</v>
      </c>
      <c r="H40" s="92" t="n">
        <v>0.333333333333333</v>
      </c>
      <c r="I40" s="93" t="s">
        <v>69</v>
      </c>
      <c r="J40" s="92" t="n">
        <v>0.25</v>
      </c>
      <c r="K40" s="93" t="s">
        <v>69</v>
      </c>
      <c r="L40" s="92" t="n">
        <v>0.333333333333333</v>
      </c>
      <c r="M40" s="93" t="s">
        <v>69</v>
      </c>
      <c r="N40" s="92" t="n">
        <v>0</v>
      </c>
    </row>
    <row r="41" customFormat="false" ht="23.25" hidden="false" customHeight="true" outlineLevel="0" collapsed="false">
      <c r="A41" s="73" t="s">
        <v>69</v>
      </c>
      <c r="B41" s="74" t="s">
        <v>69</v>
      </c>
      <c r="C41" s="94"/>
      <c r="D41" s="94"/>
      <c r="E41" s="76" t="n">
        <v>0.572916666666667</v>
      </c>
      <c r="F41" s="77" t="n">
        <v>0.915277777777778</v>
      </c>
      <c r="G41" s="76" t="n">
        <v>0.738194444444444</v>
      </c>
      <c r="H41" s="77" t="n">
        <v>0.988194444444444</v>
      </c>
      <c r="I41" s="76" t="n">
        <v>0.572916666666667</v>
      </c>
      <c r="J41" s="77" t="n">
        <v>0.915277777777778</v>
      </c>
      <c r="K41" s="78" t="n">
        <v>0.816666666666667</v>
      </c>
      <c r="L41" s="78" t="n">
        <v>0.0666666666666667</v>
      </c>
      <c r="M41" s="103" t="n">
        <v>0.604166666666667</v>
      </c>
      <c r="N41" s="79" t="n">
        <v>0.943055555555556</v>
      </c>
    </row>
    <row r="42" customFormat="false" ht="23.25" hidden="false" customHeight="true" outlineLevel="0" collapsed="false">
      <c r="A42" s="80" t="s">
        <v>69</v>
      </c>
      <c r="B42" s="81" t="s">
        <v>69</v>
      </c>
      <c r="C42" s="94"/>
      <c r="D42" s="94"/>
      <c r="E42" s="83" t="s">
        <v>100</v>
      </c>
      <c r="F42" s="84"/>
      <c r="G42" s="83" t="s">
        <v>107</v>
      </c>
      <c r="H42" s="95" t="s">
        <v>108</v>
      </c>
      <c r="I42" s="83" t="s">
        <v>100</v>
      </c>
      <c r="J42" s="84"/>
      <c r="K42" s="82" t="s">
        <v>109</v>
      </c>
      <c r="L42" s="100" t="s">
        <v>110</v>
      </c>
      <c r="M42" s="80" t="s">
        <v>111</v>
      </c>
      <c r="N42" s="81" t="s">
        <v>69</v>
      </c>
    </row>
    <row r="43" customFormat="false" ht="23.25" hidden="false" customHeight="true" outlineLevel="0" collapsed="false">
      <c r="A43" s="86" t="s">
        <v>72</v>
      </c>
      <c r="B43" s="86"/>
      <c r="C43" s="87" t="s">
        <v>72</v>
      </c>
      <c r="D43" s="87"/>
      <c r="E43" s="96" t="s">
        <v>102</v>
      </c>
      <c r="F43" s="96"/>
      <c r="G43" s="97"/>
      <c r="H43" s="97"/>
      <c r="I43" s="96" t="s">
        <v>102</v>
      </c>
      <c r="J43" s="96"/>
      <c r="K43" s="101" t="s">
        <v>69</v>
      </c>
      <c r="L43" s="101"/>
      <c r="M43" s="86" t="s">
        <v>112</v>
      </c>
      <c r="N43" s="86"/>
    </row>
    <row r="44" customFormat="false" ht="23.25" hidden="false" customHeight="true" outlineLevel="0" collapsed="false">
      <c r="A44" s="86" t="s">
        <v>69</v>
      </c>
      <c r="B44" s="86"/>
      <c r="C44" s="87" t="s">
        <v>69</v>
      </c>
      <c r="D44" s="87"/>
      <c r="E44" s="87" t="s">
        <v>69</v>
      </c>
      <c r="F44" s="87"/>
      <c r="G44" s="87" t="s">
        <v>69</v>
      </c>
      <c r="H44" s="87"/>
      <c r="I44" s="87" t="s">
        <v>69</v>
      </c>
      <c r="J44" s="87"/>
      <c r="K44" s="101" t="s">
        <v>69</v>
      </c>
      <c r="L44" s="101"/>
      <c r="M44" s="86" t="s">
        <v>69</v>
      </c>
      <c r="N44" s="86"/>
    </row>
    <row r="45" customFormat="false" ht="23.25" hidden="false" customHeight="true" outlineLevel="0" collapsed="false">
      <c r="A45" s="91" t="s">
        <v>69</v>
      </c>
      <c r="B45" s="92" t="n">
        <v>0</v>
      </c>
      <c r="C45" s="93" t="s">
        <v>69</v>
      </c>
      <c r="D45" s="92" t="n">
        <v>0</v>
      </c>
      <c r="E45" s="93" t="s">
        <v>69</v>
      </c>
      <c r="F45" s="92" t="n">
        <v>0.342361111111111</v>
      </c>
      <c r="G45" s="93" t="s">
        <v>69</v>
      </c>
      <c r="H45" s="92" t="n">
        <v>0.25</v>
      </c>
      <c r="I45" s="93" t="s">
        <v>69</v>
      </c>
      <c r="J45" s="92" t="n">
        <v>0.342361111111111</v>
      </c>
      <c r="K45" s="93" t="s">
        <v>69</v>
      </c>
      <c r="L45" s="102" t="n">
        <v>0.25</v>
      </c>
      <c r="M45" s="91" t="s">
        <v>69</v>
      </c>
      <c r="N45" s="92" t="n">
        <v>0.338888888888889</v>
      </c>
    </row>
    <row r="46" customFormat="false" ht="23.25" hidden="false" customHeight="true" outlineLevel="0" collapsed="false">
      <c r="A46" s="76" t="n">
        <v>0.543055555555555</v>
      </c>
      <c r="B46" s="77" t="n">
        <v>0.8375</v>
      </c>
      <c r="C46" s="94"/>
      <c r="D46" s="94"/>
      <c r="E46" s="76" t="n">
        <v>0.276388888888889</v>
      </c>
      <c r="F46" s="77" t="n">
        <v>0.56875</v>
      </c>
      <c r="G46" s="78" t="n">
        <v>0.208333333333333</v>
      </c>
      <c r="H46" s="79" t="n">
        <v>0.541666666666667</v>
      </c>
      <c r="I46" s="76" t="n">
        <v>0.215972222222222</v>
      </c>
      <c r="J46" s="77" t="n">
        <v>0.598611111111111</v>
      </c>
      <c r="K46" s="78" t="n">
        <v>0.208333333333333</v>
      </c>
      <c r="L46" s="79" t="n">
        <v>0.541666666666667</v>
      </c>
      <c r="M46" s="75" t="s">
        <v>69</v>
      </c>
      <c r="N46" s="74" t="s">
        <v>69</v>
      </c>
    </row>
    <row r="47" customFormat="false" ht="23.25" hidden="false" customHeight="true" outlineLevel="0" collapsed="false">
      <c r="A47" s="83" t="s">
        <v>113</v>
      </c>
      <c r="B47" s="95" t="s">
        <v>84</v>
      </c>
      <c r="C47" s="94"/>
      <c r="D47" s="94"/>
      <c r="E47" s="83" t="s">
        <v>78</v>
      </c>
      <c r="F47" s="95" t="s">
        <v>79</v>
      </c>
      <c r="G47" s="82" t="s">
        <v>69</v>
      </c>
      <c r="H47" s="85" t="s">
        <v>69</v>
      </c>
      <c r="I47" s="83" t="s">
        <v>77</v>
      </c>
      <c r="J47" s="84"/>
      <c r="K47" s="82" t="s">
        <v>69</v>
      </c>
      <c r="L47" s="85" t="s">
        <v>69</v>
      </c>
      <c r="M47" s="82" t="s">
        <v>69</v>
      </c>
      <c r="N47" s="81" t="s">
        <v>69</v>
      </c>
    </row>
    <row r="48" customFormat="false" ht="23.25" hidden="false" customHeight="true" outlineLevel="0" collapsed="false">
      <c r="A48" s="89"/>
      <c r="B48" s="89"/>
      <c r="C48" s="87" t="s">
        <v>72</v>
      </c>
      <c r="D48" s="87"/>
      <c r="E48" s="97"/>
      <c r="F48" s="97"/>
      <c r="G48" s="87" t="s">
        <v>74</v>
      </c>
      <c r="H48" s="87"/>
      <c r="I48" s="96" t="s">
        <v>81</v>
      </c>
      <c r="J48" s="96"/>
      <c r="K48" s="87" t="s">
        <v>74</v>
      </c>
      <c r="L48" s="87"/>
      <c r="M48" s="87" t="s">
        <v>72</v>
      </c>
      <c r="N48" s="87"/>
    </row>
    <row r="49" customFormat="false" ht="23.25" hidden="false" customHeight="true" outlineLevel="0" collapsed="false">
      <c r="A49" s="86" t="s">
        <v>69</v>
      </c>
      <c r="B49" s="86"/>
      <c r="C49" s="87" t="s">
        <v>69</v>
      </c>
      <c r="D49" s="87"/>
      <c r="E49" s="90"/>
      <c r="F49" s="90"/>
      <c r="G49" s="87" t="s">
        <v>69</v>
      </c>
      <c r="H49" s="87"/>
      <c r="I49" s="90"/>
      <c r="J49" s="90"/>
      <c r="K49" s="87" t="s">
        <v>69</v>
      </c>
      <c r="L49" s="87"/>
      <c r="M49" s="87" t="s">
        <v>69</v>
      </c>
      <c r="N49" s="87"/>
    </row>
    <row r="50" customFormat="false" ht="23.25" hidden="false" customHeight="true" outlineLevel="0" collapsed="false">
      <c r="A50" s="91" t="s">
        <v>69</v>
      </c>
      <c r="B50" s="92" t="n">
        <v>0.294444444444444</v>
      </c>
      <c r="C50" s="93" t="s">
        <v>69</v>
      </c>
      <c r="D50" s="92" t="n">
        <v>0</v>
      </c>
      <c r="E50" s="93" t="s">
        <v>69</v>
      </c>
      <c r="F50" s="92" t="n">
        <v>0.292361111111111</v>
      </c>
      <c r="G50" s="93" t="s">
        <v>69</v>
      </c>
      <c r="H50" s="92" t="n">
        <v>0.333333333333333</v>
      </c>
      <c r="I50" s="93" t="s">
        <v>69</v>
      </c>
      <c r="J50" s="92" t="n">
        <v>0.382638888888889</v>
      </c>
      <c r="K50" s="93" t="s">
        <v>69</v>
      </c>
      <c r="L50" s="92" t="n">
        <v>0.333333333333333</v>
      </c>
      <c r="M50" s="93" t="s">
        <v>69</v>
      </c>
      <c r="N50" s="92" t="n">
        <v>0</v>
      </c>
    </row>
    <row r="51" customFormat="false" ht="23.25" hidden="false" customHeight="true" outlineLevel="0" collapsed="false">
      <c r="A51" s="73" t="s">
        <v>69</v>
      </c>
      <c r="B51" s="74" t="s">
        <v>69</v>
      </c>
      <c r="C51" s="76" t="n">
        <v>0.572916666666667</v>
      </c>
      <c r="D51" s="77" t="n">
        <v>0.915277777777778</v>
      </c>
      <c r="E51" s="78" t="n">
        <v>0.583333333333333</v>
      </c>
      <c r="F51" s="79" t="n">
        <v>0.916666666666667</v>
      </c>
      <c r="G51" s="76" t="n">
        <v>0.572916666666667</v>
      </c>
      <c r="H51" s="77" t="n">
        <v>0.915277777777778</v>
      </c>
      <c r="I51" s="76" t="n">
        <v>0.738194444444444</v>
      </c>
      <c r="J51" s="77" t="n">
        <v>0.988194444444444</v>
      </c>
      <c r="K51" s="76" t="n">
        <v>0.738194444444444</v>
      </c>
      <c r="L51" s="77" t="n">
        <v>0.988194444444444</v>
      </c>
      <c r="M51" s="75" t="s">
        <v>69</v>
      </c>
      <c r="N51" s="74" t="s">
        <v>69</v>
      </c>
    </row>
    <row r="52" customFormat="false" ht="23.25" hidden="false" customHeight="true" outlineLevel="0" collapsed="false">
      <c r="A52" s="80" t="s">
        <v>69</v>
      </c>
      <c r="B52" s="85" t="s">
        <v>69</v>
      </c>
      <c r="C52" s="83" t="s">
        <v>100</v>
      </c>
      <c r="D52" s="84"/>
      <c r="E52" s="82" t="s">
        <v>69</v>
      </c>
      <c r="F52" s="81" t="s">
        <v>69</v>
      </c>
      <c r="G52" s="83" t="s">
        <v>100</v>
      </c>
      <c r="H52" s="84"/>
      <c r="I52" s="83" t="s">
        <v>107</v>
      </c>
      <c r="J52" s="95" t="s">
        <v>108</v>
      </c>
      <c r="K52" s="83" t="s">
        <v>107</v>
      </c>
      <c r="L52" s="95" t="s">
        <v>108</v>
      </c>
      <c r="M52" s="82" t="s">
        <v>69</v>
      </c>
      <c r="N52" s="81" t="s">
        <v>69</v>
      </c>
    </row>
    <row r="53" customFormat="false" ht="23.25" hidden="false" customHeight="true" outlineLevel="0" collapsed="false">
      <c r="A53" s="86" t="s">
        <v>72</v>
      </c>
      <c r="B53" s="86"/>
      <c r="C53" s="96" t="s">
        <v>102</v>
      </c>
      <c r="D53" s="96"/>
      <c r="E53" s="87" t="s">
        <v>74</v>
      </c>
      <c r="F53" s="87"/>
      <c r="G53" s="96" t="s">
        <v>102</v>
      </c>
      <c r="H53" s="96"/>
      <c r="I53" s="97"/>
      <c r="J53" s="97"/>
      <c r="K53" s="97"/>
      <c r="L53" s="97"/>
      <c r="M53" s="87" t="s">
        <v>72</v>
      </c>
      <c r="N53" s="87"/>
    </row>
    <row r="54" customFormat="false" ht="23.25" hidden="false" customHeight="true" outlineLevel="0" collapsed="false">
      <c r="A54" s="86" t="s">
        <v>69</v>
      </c>
      <c r="B54" s="86"/>
      <c r="C54" s="87" t="s">
        <v>69</v>
      </c>
      <c r="D54" s="87"/>
      <c r="E54" s="87" t="s">
        <v>69</v>
      </c>
      <c r="F54" s="87"/>
      <c r="G54" s="87" t="s">
        <v>69</v>
      </c>
      <c r="H54" s="87"/>
      <c r="I54" s="87" t="s">
        <v>69</v>
      </c>
      <c r="J54" s="87"/>
      <c r="K54" s="87" t="s">
        <v>69</v>
      </c>
      <c r="L54" s="87"/>
      <c r="M54" s="87" t="s">
        <v>69</v>
      </c>
      <c r="N54" s="87"/>
    </row>
    <row r="55" customFormat="false" ht="23.25" hidden="false" customHeight="true" outlineLevel="0" collapsed="false">
      <c r="A55" s="91" t="s">
        <v>69</v>
      </c>
      <c r="B55" s="92" t="n">
        <v>0</v>
      </c>
      <c r="C55" s="93" t="s">
        <v>69</v>
      </c>
      <c r="D55" s="92" t="n">
        <v>0.342361111111111</v>
      </c>
      <c r="E55" s="93" t="s">
        <v>69</v>
      </c>
      <c r="F55" s="92" t="n">
        <v>0.333333333333333</v>
      </c>
      <c r="G55" s="93" t="s">
        <v>69</v>
      </c>
      <c r="H55" s="92" t="n">
        <v>0.342361111111111</v>
      </c>
      <c r="I55" s="93" t="s">
        <v>69</v>
      </c>
      <c r="J55" s="92" t="n">
        <v>0.25</v>
      </c>
      <c r="K55" s="93" t="s">
        <v>69</v>
      </c>
      <c r="L55" s="102" t="n">
        <v>0.25</v>
      </c>
      <c r="M55" s="91" t="s">
        <v>69</v>
      </c>
      <c r="N55" s="92" t="n">
        <v>0</v>
      </c>
    </row>
  </sheetData>
  <mergeCells count="151">
    <mergeCell ref="A3:B3"/>
    <mergeCell ref="C3:D3"/>
    <mergeCell ref="E3:F3"/>
    <mergeCell ref="G3:H3"/>
    <mergeCell ref="I3:J3"/>
    <mergeCell ref="K3:L3"/>
    <mergeCell ref="M3:N3"/>
    <mergeCell ref="A4:B4"/>
    <mergeCell ref="C4:D4"/>
    <mergeCell ref="E4:F4"/>
    <mergeCell ref="G4:H4"/>
    <mergeCell ref="I4:J4"/>
    <mergeCell ref="K4:L4"/>
    <mergeCell ref="M4:N4"/>
    <mergeCell ref="A8:B8"/>
    <mergeCell ref="C8:D8"/>
    <mergeCell ref="E8:F8"/>
    <mergeCell ref="G8:H8"/>
    <mergeCell ref="I8:J8"/>
    <mergeCell ref="K8:L8"/>
    <mergeCell ref="M8:N8"/>
    <mergeCell ref="A9:B9"/>
    <mergeCell ref="C9:D9"/>
    <mergeCell ref="E9:F9"/>
    <mergeCell ref="I9:J9"/>
    <mergeCell ref="K9:L9"/>
    <mergeCell ref="M9:N9"/>
    <mergeCell ref="A13:B13"/>
    <mergeCell ref="C13:D13"/>
    <mergeCell ref="E13:F13"/>
    <mergeCell ref="G13:H13"/>
    <mergeCell ref="I13:J13"/>
    <mergeCell ref="K13:L13"/>
    <mergeCell ref="M13:N13"/>
    <mergeCell ref="A14:B14"/>
    <mergeCell ref="C14:D14"/>
    <mergeCell ref="E14:F14"/>
    <mergeCell ref="G14:H14"/>
    <mergeCell ref="I14:J14"/>
    <mergeCell ref="K14:L14"/>
    <mergeCell ref="M14:N14"/>
    <mergeCell ref="A18:B18"/>
    <mergeCell ref="C18:D18"/>
    <mergeCell ref="E18:F18"/>
    <mergeCell ref="G18:H18"/>
    <mergeCell ref="I18:J18"/>
    <mergeCell ref="K18:L18"/>
    <mergeCell ref="M18:N18"/>
    <mergeCell ref="A19:B19"/>
    <mergeCell ref="C19:D19"/>
    <mergeCell ref="E19:F19"/>
    <mergeCell ref="G19:H19"/>
    <mergeCell ref="I19:J19"/>
    <mergeCell ref="K19:L19"/>
    <mergeCell ref="M19:N19"/>
    <mergeCell ref="A23:B23"/>
    <mergeCell ref="C23:D23"/>
    <mergeCell ref="E23:F23"/>
    <mergeCell ref="G23:H23"/>
    <mergeCell ref="I23:J23"/>
    <mergeCell ref="K23:L23"/>
    <mergeCell ref="M23:N23"/>
    <mergeCell ref="A24:B24"/>
    <mergeCell ref="C24:D24"/>
    <mergeCell ref="E24:F24"/>
    <mergeCell ref="G24:H24"/>
    <mergeCell ref="I24:J24"/>
    <mergeCell ref="K24:L24"/>
    <mergeCell ref="M24:N24"/>
    <mergeCell ref="A28:B28"/>
    <mergeCell ref="C28:D28"/>
    <mergeCell ref="E28:F28"/>
    <mergeCell ref="G28:H28"/>
    <mergeCell ref="I28:J28"/>
    <mergeCell ref="K28:L28"/>
    <mergeCell ref="M28:N28"/>
    <mergeCell ref="A29:B29"/>
    <mergeCell ref="C29:D29"/>
    <mergeCell ref="E29:F29"/>
    <mergeCell ref="G29:H29"/>
    <mergeCell ref="I29:J29"/>
    <mergeCell ref="K29:L29"/>
    <mergeCell ref="M29:N29"/>
    <mergeCell ref="A33:B33"/>
    <mergeCell ref="C33:D33"/>
    <mergeCell ref="E33:F33"/>
    <mergeCell ref="G33:H33"/>
    <mergeCell ref="I33:J33"/>
    <mergeCell ref="K33:L33"/>
    <mergeCell ref="M33:N33"/>
    <mergeCell ref="A34:B34"/>
    <mergeCell ref="C34:D34"/>
    <mergeCell ref="E34:F34"/>
    <mergeCell ref="I34:J34"/>
    <mergeCell ref="K34:L34"/>
    <mergeCell ref="M34:N34"/>
    <mergeCell ref="A38:B38"/>
    <mergeCell ref="C38:D38"/>
    <mergeCell ref="E38:F38"/>
    <mergeCell ref="G38:H38"/>
    <mergeCell ref="I38:J38"/>
    <mergeCell ref="K38:L38"/>
    <mergeCell ref="M38:N38"/>
    <mergeCell ref="A39:B39"/>
    <mergeCell ref="E39:F39"/>
    <mergeCell ref="G39:H39"/>
    <mergeCell ref="I39:J39"/>
    <mergeCell ref="K39:L39"/>
    <mergeCell ref="M39:N39"/>
    <mergeCell ref="A43:B43"/>
    <mergeCell ref="C43:D43"/>
    <mergeCell ref="E43:F43"/>
    <mergeCell ref="G43:H43"/>
    <mergeCell ref="I43:J43"/>
    <mergeCell ref="K43:L43"/>
    <mergeCell ref="M43:N43"/>
    <mergeCell ref="A44:B44"/>
    <mergeCell ref="C44:D44"/>
    <mergeCell ref="E44:F44"/>
    <mergeCell ref="G44:H44"/>
    <mergeCell ref="I44:J44"/>
    <mergeCell ref="K44:L44"/>
    <mergeCell ref="M44:N44"/>
    <mergeCell ref="A48:B48"/>
    <mergeCell ref="C48:D48"/>
    <mergeCell ref="E48:F48"/>
    <mergeCell ref="G48:H48"/>
    <mergeCell ref="I48:J48"/>
    <mergeCell ref="K48:L48"/>
    <mergeCell ref="M48:N48"/>
    <mergeCell ref="A49:B49"/>
    <mergeCell ref="C49:D49"/>
    <mergeCell ref="E49:F49"/>
    <mergeCell ref="G49:H49"/>
    <mergeCell ref="I49:J49"/>
    <mergeCell ref="K49:L49"/>
    <mergeCell ref="M49:N49"/>
    <mergeCell ref="A53:B53"/>
    <mergeCell ref="C53:D53"/>
    <mergeCell ref="E53:F53"/>
    <mergeCell ref="G53:H53"/>
    <mergeCell ref="I53:J53"/>
    <mergeCell ref="K53:L53"/>
    <mergeCell ref="M53:N53"/>
    <mergeCell ref="A54:B54"/>
    <mergeCell ref="C54:D54"/>
    <mergeCell ref="E54:F54"/>
    <mergeCell ref="G54:H54"/>
    <mergeCell ref="I54:J54"/>
    <mergeCell ref="K54:L54"/>
    <mergeCell ref="M54:N54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55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A1" activeCellId="0" sqref="A1"/>
    </sheetView>
  </sheetViews>
  <sheetFormatPr defaultColWidth="8.7421875" defaultRowHeight="12.8" zeroHeight="false" outlineLevelRow="0" outlineLevelCol="0"/>
  <cols>
    <col collapsed="false" customWidth="true" hidden="false" outlineLevel="0" max="1" min="1" style="0" width="15.88"/>
    <col collapsed="false" customWidth="true" hidden="false" outlineLevel="0" max="2" min="2" style="0" width="16.57"/>
    <col collapsed="false" customWidth="true" hidden="false" outlineLevel="0" max="14" min="3" style="0" width="15.88"/>
    <col collapsed="false" customWidth="true" hidden="false" outlineLevel="0" max="1024" min="1023" style="0" width="11.52"/>
  </cols>
  <sheetData>
    <row r="1" customFormat="false" ht="23.25" hidden="false" customHeight="true" outlineLevel="0" collapsed="false">
      <c r="A1" s="73" t="s">
        <v>69</v>
      </c>
      <c r="B1" s="74"/>
      <c r="C1" s="75" t="s">
        <v>69</v>
      </c>
      <c r="D1" s="74" t="s">
        <v>69</v>
      </c>
      <c r="E1" s="75" t="s">
        <v>69</v>
      </c>
      <c r="F1" s="74" t="s">
        <v>69</v>
      </c>
      <c r="G1" s="76" t="n">
        <v>0.191666666666667</v>
      </c>
      <c r="H1" s="77" t="n">
        <v>0.513194444444444</v>
      </c>
      <c r="I1" s="78" t="n">
        <v>0.208333333333333</v>
      </c>
      <c r="J1" s="79" t="n">
        <v>0.541666666666667</v>
      </c>
      <c r="K1" s="76" t="n">
        <v>0.191666666666667</v>
      </c>
      <c r="L1" s="77" t="n">
        <v>0.513194444444444</v>
      </c>
      <c r="M1" s="76" t="n">
        <v>0.243055555555556</v>
      </c>
      <c r="N1" s="77" t="n">
        <v>0.5875</v>
      </c>
    </row>
    <row r="2" customFormat="false" ht="24" hidden="false" customHeight="true" outlineLevel="0" collapsed="false">
      <c r="A2" s="80" t="s">
        <v>69</v>
      </c>
      <c r="B2" s="81" t="s">
        <v>69</v>
      </c>
      <c r="C2" s="82" t="s">
        <v>69</v>
      </c>
      <c r="D2" s="81" t="s">
        <v>69</v>
      </c>
      <c r="E2" s="82" t="s">
        <v>69</v>
      </c>
      <c r="F2" s="81" t="s">
        <v>69</v>
      </c>
      <c r="G2" s="83" t="s">
        <v>70</v>
      </c>
      <c r="H2" s="84"/>
      <c r="I2" s="82" t="s">
        <v>69</v>
      </c>
      <c r="J2" s="85" t="s">
        <v>69</v>
      </c>
      <c r="K2" s="83" t="s">
        <v>70</v>
      </c>
      <c r="L2" s="84"/>
      <c r="M2" s="83" t="s">
        <v>71</v>
      </c>
      <c r="N2" s="84"/>
    </row>
    <row r="3" customFormat="false" ht="24" hidden="false" customHeight="true" outlineLevel="0" collapsed="false">
      <c r="A3" s="86" t="s">
        <v>72</v>
      </c>
      <c r="B3" s="86"/>
      <c r="C3" s="87" t="s">
        <v>72</v>
      </c>
      <c r="D3" s="87"/>
      <c r="E3" s="87" t="s">
        <v>23</v>
      </c>
      <c r="F3" s="87"/>
      <c r="G3" s="88" t="s">
        <v>73</v>
      </c>
      <c r="H3" s="88"/>
      <c r="I3" s="87" t="s">
        <v>74</v>
      </c>
      <c r="J3" s="87"/>
      <c r="K3" s="88" t="s">
        <v>73</v>
      </c>
      <c r="L3" s="88"/>
      <c r="M3" s="89" t="s">
        <v>75</v>
      </c>
      <c r="N3" s="89"/>
    </row>
    <row r="4" customFormat="false" ht="24" hidden="false" customHeight="true" outlineLevel="0" collapsed="false">
      <c r="A4" s="86" t="s">
        <v>69</v>
      </c>
      <c r="B4" s="86"/>
      <c r="C4" s="87" t="s">
        <v>69</v>
      </c>
      <c r="D4" s="87"/>
      <c r="E4" s="87" t="s">
        <v>69</v>
      </c>
      <c r="F4" s="87"/>
      <c r="G4" s="90"/>
      <c r="H4" s="90"/>
      <c r="I4" s="87" t="s">
        <v>69</v>
      </c>
      <c r="J4" s="87"/>
      <c r="K4" s="90"/>
      <c r="L4" s="90"/>
      <c r="M4" s="90"/>
      <c r="N4" s="90"/>
    </row>
    <row r="5" customFormat="false" ht="24" hidden="false" customHeight="true" outlineLevel="0" collapsed="false">
      <c r="A5" s="91" t="s">
        <v>69</v>
      </c>
      <c r="B5" s="92" t="n">
        <v>0</v>
      </c>
      <c r="C5" s="93" t="s">
        <v>69</v>
      </c>
      <c r="D5" s="92" t="n">
        <v>0</v>
      </c>
      <c r="E5" s="93" t="s">
        <v>69</v>
      </c>
      <c r="F5" s="92" t="n">
        <v>0.333333333333333</v>
      </c>
      <c r="G5" s="93" t="s">
        <v>69</v>
      </c>
      <c r="H5" s="92" t="n">
        <v>0.321527777777778</v>
      </c>
      <c r="I5" s="93" t="s">
        <v>69</v>
      </c>
      <c r="J5" s="92" t="n">
        <v>0.333333333333333</v>
      </c>
      <c r="K5" s="93" t="s">
        <v>69</v>
      </c>
      <c r="L5" s="92" t="n">
        <v>0.321527777777778</v>
      </c>
      <c r="M5" s="93" t="s">
        <v>69</v>
      </c>
      <c r="N5" s="92" t="n">
        <v>0.344444444444444</v>
      </c>
    </row>
    <row r="6" customFormat="false" ht="24" hidden="false" customHeight="true" outlineLevel="0" collapsed="false">
      <c r="A6" s="76" t="n">
        <v>0.272916666666667</v>
      </c>
      <c r="B6" s="77" t="n">
        <v>0.5875</v>
      </c>
      <c r="C6" s="76" t="n">
        <v>0.215972222222222</v>
      </c>
      <c r="D6" s="77" t="n">
        <v>0.598611111111111</v>
      </c>
      <c r="E6" s="76" t="n">
        <v>0.191666666666667</v>
      </c>
      <c r="F6" s="77" t="n">
        <v>0.513194444444444</v>
      </c>
      <c r="G6" s="94"/>
      <c r="H6" s="94"/>
      <c r="I6" s="76" t="n">
        <v>0.191666666666667</v>
      </c>
      <c r="J6" s="77" t="n">
        <v>0.513194444444444</v>
      </c>
      <c r="K6" s="76" t="n">
        <v>0.276388888888889</v>
      </c>
      <c r="L6" s="77" t="n">
        <v>0.56875</v>
      </c>
      <c r="M6" s="75" t="s">
        <v>69</v>
      </c>
      <c r="N6" s="74" t="s">
        <v>69</v>
      </c>
    </row>
    <row r="7" customFormat="false" ht="24" hidden="false" customHeight="true" outlineLevel="0" collapsed="false">
      <c r="A7" s="83" t="s">
        <v>76</v>
      </c>
      <c r="B7" s="84"/>
      <c r="C7" s="83" t="s">
        <v>77</v>
      </c>
      <c r="D7" s="84"/>
      <c r="E7" s="83" t="s">
        <v>70</v>
      </c>
      <c r="F7" s="84"/>
      <c r="G7" s="94"/>
      <c r="H7" s="94"/>
      <c r="I7" s="83" t="s">
        <v>70</v>
      </c>
      <c r="J7" s="84"/>
      <c r="K7" s="83" t="s">
        <v>78</v>
      </c>
      <c r="L7" s="95" t="s">
        <v>79</v>
      </c>
      <c r="M7" s="82" t="s">
        <v>69</v>
      </c>
      <c r="N7" s="85" t="s">
        <v>69</v>
      </c>
    </row>
    <row r="8" customFormat="false" ht="24" hidden="false" customHeight="true" outlineLevel="0" collapsed="false">
      <c r="A8" s="89" t="s">
        <v>80</v>
      </c>
      <c r="B8" s="89"/>
      <c r="C8" s="96" t="s">
        <v>81</v>
      </c>
      <c r="D8" s="96"/>
      <c r="E8" s="88" t="s">
        <v>73</v>
      </c>
      <c r="F8" s="88"/>
      <c r="G8" s="87" t="s">
        <v>72</v>
      </c>
      <c r="H8" s="87"/>
      <c r="I8" s="88" t="s">
        <v>73</v>
      </c>
      <c r="J8" s="88"/>
      <c r="K8" s="97"/>
      <c r="L8" s="97"/>
      <c r="M8" s="87" t="s">
        <v>72</v>
      </c>
      <c r="N8" s="87"/>
    </row>
    <row r="9" customFormat="false" ht="24" hidden="false" customHeight="true" outlineLevel="0" collapsed="false">
      <c r="A9" s="86" t="s">
        <v>69</v>
      </c>
      <c r="B9" s="86"/>
      <c r="C9" s="87" t="s">
        <v>69</v>
      </c>
      <c r="D9" s="87"/>
      <c r="E9" s="90"/>
      <c r="F9" s="90"/>
      <c r="G9" s="94"/>
      <c r="H9" s="94"/>
      <c r="I9" s="90"/>
      <c r="J9" s="90"/>
      <c r="K9" s="90"/>
      <c r="L9" s="90"/>
      <c r="M9" s="87" t="s">
        <v>69</v>
      </c>
      <c r="N9" s="87"/>
    </row>
    <row r="10" customFormat="false" ht="24" hidden="false" customHeight="true" outlineLevel="0" collapsed="false">
      <c r="A10" s="91" t="s">
        <v>69</v>
      </c>
      <c r="B10" s="92" t="n">
        <v>0.314583333333333</v>
      </c>
      <c r="C10" s="93" t="s">
        <v>69</v>
      </c>
      <c r="D10" s="92" t="n">
        <v>0.382638888888889</v>
      </c>
      <c r="E10" s="93" t="s">
        <v>69</v>
      </c>
      <c r="F10" s="92" t="n">
        <v>0.321527777777778</v>
      </c>
      <c r="G10" s="93" t="s">
        <v>69</v>
      </c>
      <c r="H10" s="92" t="n">
        <v>0</v>
      </c>
      <c r="I10" s="93" t="s">
        <v>69</v>
      </c>
      <c r="J10" s="92" t="n">
        <v>0.321527777777778</v>
      </c>
      <c r="K10" s="93" t="s">
        <v>69</v>
      </c>
      <c r="L10" s="92" t="n">
        <v>0.292361111111111</v>
      </c>
      <c r="M10" s="93" t="s">
        <v>69</v>
      </c>
      <c r="N10" s="92" t="n">
        <v>0</v>
      </c>
    </row>
    <row r="11" customFormat="false" ht="24" hidden="false" customHeight="true" outlineLevel="0" collapsed="false">
      <c r="A11" s="73" t="s">
        <v>69</v>
      </c>
      <c r="B11" s="74" t="s">
        <v>69</v>
      </c>
      <c r="C11" s="78" t="n">
        <v>0.208333333333333</v>
      </c>
      <c r="D11" s="79" t="n">
        <v>0.541666666666667</v>
      </c>
      <c r="E11" s="78" t="n">
        <v>0.208333333333333</v>
      </c>
      <c r="F11" s="79" t="n">
        <v>0.541666666666667</v>
      </c>
      <c r="G11" s="76" t="n">
        <v>0.325694444444444</v>
      </c>
      <c r="H11" s="77" t="n">
        <v>0.734027777777778</v>
      </c>
      <c r="I11" s="75" t="s">
        <v>69</v>
      </c>
      <c r="J11" s="74" t="s">
        <v>69</v>
      </c>
      <c r="K11" s="76" t="n">
        <v>0.338194444444444</v>
      </c>
      <c r="L11" s="77" t="n">
        <v>0.64375</v>
      </c>
      <c r="M11" s="76" t="n">
        <v>0.338194444444444</v>
      </c>
      <c r="N11" s="77" t="n">
        <v>0.64375</v>
      </c>
    </row>
    <row r="12" customFormat="false" ht="24" hidden="false" customHeight="true" outlineLevel="0" collapsed="false">
      <c r="A12" s="80" t="s">
        <v>69</v>
      </c>
      <c r="B12" s="81" t="s">
        <v>69</v>
      </c>
      <c r="C12" s="82" t="s">
        <v>69</v>
      </c>
      <c r="D12" s="81" t="s">
        <v>69</v>
      </c>
      <c r="E12" s="82" t="s">
        <v>69</v>
      </c>
      <c r="F12" s="81" t="s">
        <v>69</v>
      </c>
      <c r="G12" s="83" t="s">
        <v>82</v>
      </c>
      <c r="H12" s="84"/>
      <c r="I12" s="82" t="s">
        <v>69</v>
      </c>
      <c r="J12" s="81" t="s">
        <v>69</v>
      </c>
      <c r="K12" s="83" t="s">
        <v>83</v>
      </c>
      <c r="L12" s="95" t="s">
        <v>84</v>
      </c>
      <c r="M12" s="83" t="s">
        <v>85</v>
      </c>
      <c r="N12" s="95" t="s">
        <v>84</v>
      </c>
    </row>
    <row r="13" customFormat="false" ht="24" hidden="false" customHeight="true" outlineLevel="0" collapsed="false">
      <c r="A13" s="86" t="s">
        <v>72</v>
      </c>
      <c r="B13" s="86"/>
      <c r="C13" s="87" t="s">
        <v>74</v>
      </c>
      <c r="D13" s="87"/>
      <c r="E13" s="87" t="s">
        <v>74</v>
      </c>
      <c r="F13" s="87"/>
      <c r="G13" s="89" t="s">
        <v>86</v>
      </c>
      <c r="H13" s="89"/>
      <c r="I13" s="87" t="s">
        <v>72</v>
      </c>
      <c r="J13" s="87"/>
      <c r="K13" s="96" t="s">
        <v>87</v>
      </c>
      <c r="L13" s="96"/>
      <c r="M13" s="97"/>
      <c r="N13" s="97"/>
    </row>
    <row r="14" customFormat="false" ht="24" hidden="false" customHeight="true" outlineLevel="0" collapsed="false">
      <c r="A14" s="86" t="s">
        <v>69</v>
      </c>
      <c r="B14" s="86"/>
      <c r="C14" s="87" t="s">
        <v>69</v>
      </c>
      <c r="D14" s="87"/>
      <c r="E14" s="87" t="s">
        <v>69</v>
      </c>
      <c r="F14" s="87"/>
      <c r="G14" s="87" t="s">
        <v>69</v>
      </c>
      <c r="H14" s="87"/>
      <c r="I14" s="87" t="s">
        <v>69</v>
      </c>
      <c r="J14" s="87"/>
      <c r="K14" s="90"/>
      <c r="L14" s="90"/>
      <c r="M14" s="87" t="s">
        <v>69</v>
      </c>
      <c r="N14" s="87"/>
    </row>
    <row r="15" customFormat="false" ht="24" hidden="false" customHeight="true" outlineLevel="0" collapsed="false">
      <c r="A15" s="91" t="s">
        <v>69</v>
      </c>
      <c r="B15" s="92" t="n">
        <v>0</v>
      </c>
      <c r="C15" s="93" t="s">
        <v>69</v>
      </c>
      <c r="D15" s="92" t="n">
        <v>0.333333333333333</v>
      </c>
      <c r="E15" s="93" t="s">
        <v>69</v>
      </c>
      <c r="F15" s="92" t="n">
        <v>0.333333333333333</v>
      </c>
      <c r="G15" s="93" t="s">
        <v>69</v>
      </c>
      <c r="H15" s="92" t="n">
        <v>0.408333333333333</v>
      </c>
      <c r="I15" s="93" t="s">
        <v>69</v>
      </c>
      <c r="J15" s="92" t="n">
        <v>0</v>
      </c>
      <c r="K15" s="93" t="s">
        <v>69</v>
      </c>
      <c r="L15" s="92" t="n">
        <v>0.305555555555555</v>
      </c>
      <c r="M15" s="93" t="s">
        <v>69</v>
      </c>
      <c r="N15" s="92" t="n">
        <v>0.305555555555555</v>
      </c>
    </row>
    <row r="16" customFormat="false" ht="24" hidden="false" customHeight="true" outlineLevel="0" collapsed="false">
      <c r="A16" s="76" t="n">
        <v>0.338194444444444</v>
      </c>
      <c r="B16" s="77" t="n">
        <v>0.64375</v>
      </c>
      <c r="C16" s="76" t="n">
        <v>0.276388888888889</v>
      </c>
      <c r="D16" s="77" t="n">
        <v>0.56875</v>
      </c>
      <c r="E16" s="94"/>
      <c r="F16" s="94"/>
      <c r="G16" s="76" t="n">
        <v>0.215972222222222</v>
      </c>
      <c r="H16" s="77" t="n">
        <v>0.598611111111111</v>
      </c>
      <c r="I16" s="76" t="n">
        <v>0.338194444444444</v>
      </c>
      <c r="J16" s="77" t="n">
        <v>0.64375</v>
      </c>
      <c r="K16" s="76" t="n">
        <v>0.325694444444444</v>
      </c>
      <c r="L16" s="77" t="n">
        <v>0.734027777777778</v>
      </c>
      <c r="M16" s="75" t="s">
        <v>69</v>
      </c>
      <c r="N16" s="74" t="s">
        <v>69</v>
      </c>
    </row>
    <row r="17" customFormat="false" ht="24" hidden="false" customHeight="true" outlineLevel="0" collapsed="false">
      <c r="A17" s="83" t="s">
        <v>90</v>
      </c>
      <c r="B17" s="98" t="s">
        <v>84</v>
      </c>
      <c r="C17" s="83" t="s">
        <v>78</v>
      </c>
      <c r="D17" s="95" t="s">
        <v>79</v>
      </c>
      <c r="E17" s="94"/>
      <c r="F17" s="94"/>
      <c r="G17" s="83" t="s">
        <v>77</v>
      </c>
      <c r="H17" s="84"/>
      <c r="I17" s="83" t="s">
        <v>83</v>
      </c>
      <c r="J17" s="95" t="s">
        <v>84</v>
      </c>
      <c r="K17" s="83" t="s">
        <v>82</v>
      </c>
      <c r="L17" s="84"/>
      <c r="M17" s="82" t="s">
        <v>69</v>
      </c>
      <c r="N17" s="81" t="s">
        <v>69</v>
      </c>
    </row>
    <row r="18" customFormat="false" ht="24" hidden="false" customHeight="true" outlineLevel="0" collapsed="false">
      <c r="A18" s="89" t="s">
        <v>91</v>
      </c>
      <c r="B18" s="89"/>
      <c r="C18" s="97"/>
      <c r="D18" s="97"/>
      <c r="E18" s="87" t="s">
        <v>72</v>
      </c>
      <c r="F18" s="87"/>
      <c r="G18" s="96" t="s">
        <v>81</v>
      </c>
      <c r="H18" s="96"/>
      <c r="I18" s="96" t="s">
        <v>87</v>
      </c>
      <c r="J18" s="96"/>
      <c r="K18" s="89" t="s">
        <v>86</v>
      </c>
      <c r="L18" s="89"/>
      <c r="M18" s="87" t="s">
        <v>72</v>
      </c>
      <c r="N18" s="87"/>
    </row>
    <row r="19" customFormat="false" ht="24" hidden="false" customHeight="true" outlineLevel="0" collapsed="false">
      <c r="A19" s="86" t="s">
        <v>69</v>
      </c>
      <c r="B19" s="86"/>
      <c r="C19" s="90"/>
      <c r="D19" s="90"/>
      <c r="E19" s="86" t="s">
        <v>69</v>
      </c>
      <c r="F19" s="86"/>
      <c r="G19" s="87" t="s">
        <v>69</v>
      </c>
      <c r="H19" s="87"/>
      <c r="I19" s="87" t="s">
        <v>69</v>
      </c>
      <c r="J19" s="87"/>
      <c r="K19" s="87" t="s">
        <v>69</v>
      </c>
      <c r="L19" s="87"/>
      <c r="M19" s="87" t="s">
        <v>69</v>
      </c>
      <c r="N19" s="87"/>
    </row>
    <row r="20" customFormat="false" ht="24" hidden="false" customHeight="true" outlineLevel="0" collapsed="false">
      <c r="A20" s="91" t="s">
        <v>69</v>
      </c>
      <c r="B20" s="92" t="n">
        <v>0.305555555555555</v>
      </c>
      <c r="C20" s="93" t="s">
        <v>69</v>
      </c>
      <c r="D20" s="92" t="n">
        <v>0.292361111111111</v>
      </c>
      <c r="E20" s="93" t="s">
        <v>69</v>
      </c>
      <c r="F20" s="92" t="n">
        <v>0</v>
      </c>
      <c r="G20" s="93" t="s">
        <v>69</v>
      </c>
      <c r="H20" s="92" t="n">
        <v>0.382638888888889</v>
      </c>
      <c r="I20" s="93" t="s">
        <v>69</v>
      </c>
      <c r="J20" s="92" t="n">
        <v>0.305555555555555</v>
      </c>
      <c r="K20" s="93" t="s">
        <v>69</v>
      </c>
      <c r="L20" s="92" t="n">
        <v>0.408333333333333</v>
      </c>
      <c r="M20" s="93" t="s">
        <v>69</v>
      </c>
      <c r="N20" s="92" t="n">
        <v>0</v>
      </c>
    </row>
    <row r="21" customFormat="false" ht="24" hidden="false" customHeight="true" outlineLevel="0" collapsed="false">
      <c r="A21" s="73" t="s">
        <v>69</v>
      </c>
      <c r="B21" s="74" t="s">
        <v>69</v>
      </c>
      <c r="C21" s="75" t="s">
        <v>69</v>
      </c>
      <c r="D21" s="74" t="s">
        <v>69</v>
      </c>
      <c r="E21" s="75" t="s">
        <v>69</v>
      </c>
      <c r="F21" s="74" t="s">
        <v>69</v>
      </c>
      <c r="G21" s="76" t="n">
        <v>0.338194444444444</v>
      </c>
      <c r="H21" s="77" t="n">
        <v>0.64375</v>
      </c>
      <c r="I21" s="78" t="n">
        <v>0.583333333333333</v>
      </c>
      <c r="J21" s="79" t="n">
        <v>0.916666666666667</v>
      </c>
      <c r="K21" s="78" t="n">
        <v>0.583333333333333</v>
      </c>
      <c r="L21" s="78" t="n">
        <v>0.916666666666667</v>
      </c>
      <c r="M21" s="76" t="n">
        <v>0.811805555555556</v>
      </c>
      <c r="N21" s="77" t="n">
        <v>1.06805555555556</v>
      </c>
    </row>
    <row r="22" customFormat="false" ht="24" hidden="false" customHeight="true" outlineLevel="0" collapsed="false">
      <c r="A22" s="80" t="s">
        <v>69</v>
      </c>
      <c r="B22" s="85" t="s">
        <v>69</v>
      </c>
      <c r="C22" s="82" t="s">
        <v>69</v>
      </c>
      <c r="D22" s="81" t="s">
        <v>69</v>
      </c>
      <c r="E22" s="82" t="s">
        <v>69</v>
      </c>
      <c r="F22" s="81" t="s">
        <v>69</v>
      </c>
      <c r="G22" s="83" t="s">
        <v>83</v>
      </c>
      <c r="H22" s="95" t="s">
        <v>84</v>
      </c>
      <c r="I22" s="82" t="s">
        <v>69</v>
      </c>
      <c r="J22" s="85" t="s">
        <v>69</v>
      </c>
      <c r="K22" s="82"/>
      <c r="L22" s="100"/>
      <c r="M22" s="83" t="s">
        <v>93</v>
      </c>
      <c r="N22" s="95" t="s">
        <v>114</v>
      </c>
    </row>
    <row r="23" customFormat="false" ht="24" hidden="false" customHeight="true" outlineLevel="0" collapsed="false">
      <c r="A23" s="86" t="s">
        <v>72</v>
      </c>
      <c r="B23" s="86"/>
      <c r="C23" s="87" t="s">
        <v>72</v>
      </c>
      <c r="D23" s="87"/>
      <c r="E23" s="87" t="s">
        <v>23</v>
      </c>
      <c r="F23" s="87"/>
      <c r="G23" s="96" t="s">
        <v>87</v>
      </c>
      <c r="H23" s="96"/>
      <c r="I23" s="87" t="s">
        <v>74</v>
      </c>
      <c r="J23" s="87"/>
      <c r="K23" s="101" t="s">
        <v>74</v>
      </c>
      <c r="L23" s="101"/>
      <c r="M23" s="89" t="s">
        <v>115</v>
      </c>
      <c r="N23" s="89"/>
    </row>
    <row r="24" customFormat="false" ht="24" hidden="false" customHeight="true" outlineLevel="0" collapsed="false">
      <c r="A24" s="86" t="s">
        <v>69</v>
      </c>
      <c r="B24" s="86"/>
      <c r="C24" s="87" t="s">
        <v>69</v>
      </c>
      <c r="D24" s="87"/>
      <c r="E24" s="87" t="s">
        <v>69</v>
      </c>
      <c r="F24" s="87"/>
      <c r="G24" s="87" t="s">
        <v>69</v>
      </c>
      <c r="H24" s="87"/>
      <c r="I24" s="87" t="s">
        <v>69</v>
      </c>
      <c r="J24" s="87"/>
      <c r="K24" s="101" t="s">
        <v>69</v>
      </c>
      <c r="L24" s="101"/>
      <c r="M24" s="86" t="s">
        <v>69</v>
      </c>
      <c r="N24" s="86"/>
    </row>
    <row r="25" customFormat="false" ht="24" hidden="false" customHeight="true" outlineLevel="0" collapsed="false">
      <c r="A25" s="91" t="s">
        <v>69</v>
      </c>
      <c r="B25" s="92" t="n">
        <v>0</v>
      </c>
      <c r="C25" s="93" t="s">
        <v>69</v>
      </c>
      <c r="D25" s="92" t="n">
        <v>0</v>
      </c>
      <c r="E25" s="93" t="s">
        <v>69</v>
      </c>
      <c r="F25" s="92" t="n">
        <v>0.333333333333333</v>
      </c>
      <c r="G25" s="93" t="s">
        <v>69</v>
      </c>
      <c r="H25" s="92" t="n">
        <v>0.305555555555555</v>
      </c>
      <c r="I25" s="93" t="s">
        <v>69</v>
      </c>
      <c r="J25" s="92" t="n">
        <v>0.333333333333333</v>
      </c>
      <c r="K25" s="93" t="s">
        <v>69</v>
      </c>
      <c r="L25" s="102" t="n">
        <v>0.333333333333333</v>
      </c>
      <c r="M25" s="91" t="s">
        <v>69</v>
      </c>
      <c r="N25" s="92" t="n">
        <v>0.25625</v>
      </c>
    </row>
    <row r="26" customFormat="false" ht="24" hidden="false" customHeight="true" outlineLevel="0" collapsed="false">
      <c r="A26" s="76" t="n">
        <v>0.580555555555556</v>
      </c>
      <c r="B26" s="77" t="n">
        <v>0.984722222222222</v>
      </c>
      <c r="C26" s="78" t="n">
        <v>0.583333333333333</v>
      </c>
      <c r="D26" s="79" t="n">
        <v>0.916666666666667</v>
      </c>
      <c r="E26" s="75" t="s">
        <v>69</v>
      </c>
      <c r="F26" s="74" t="s">
        <v>69</v>
      </c>
      <c r="G26" s="76" t="n">
        <v>0.629861111111111</v>
      </c>
      <c r="H26" s="77" t="n">
        <v>0.879861111111111</v>
      </c>
      <c r="I26" s="78" t="n">
        <v>0.543055555555555</v>
      </c>
      <c r="J26" s="79" t="n">
        <v>0.8375</v>
      </c>
      <c r="K26" s="78" t="n">
        <v>0.572916666666667</v>
      </c>
      <c r="L26" s="79" t="n">
        <v>0.915277777777778</v>
      </c>
      <c r="M26" s="75" t="s">
        <v>69</v>
      </c>
      <c r="N26" s="74" t="s">
        <v>69</v>
      </c>
    </row>
    <row r="27" customFormat="false" ht="24" hidden="false" customHeight="true" outlineLevel="0" collapsed="false">
      <c r="A27" s="83" t="s">
        <v>95</v>
      </c>
      <c r="B27" s="84"/>
      <c r="C27" s="82" t="s">
        <v>69</v>
      </c>
      <c r="D27" s="85" t="s">
        <v>69</v>
      </c>
      <c r="E27" s="82" t="s">
        <v>69</v>
      </c>
      <c r="F27" s="85" t="s">
        <v>69</v>
      </c>
      <c r="G27" s="83" t="s">
        <v>96</v>
      </c>
      <c r="H27" s="95" t="s">
        <v>97</v>
      </c>
      <c r="I27" s="82" t="s">
        <v>98</v>
      </c>
      <c r="J27" s="85" t="s">
        <v>99</v>
      </c>
      <c r="K27" s="82" t="s">
        <v>100</v>
      </c>
      <c r="L27" s="81" t="s">
        <v>69</v>
      </c>
      <c r="M27" s="82" t="s">
        <v>69</v>
      </c>
      <c r="N27" s="81" t="s">
        <v>69</v>
      </c>
    </row>
    <row r="28" customFormat="false" ht="24" hidden="false" customHeight="true" outlineLevel="0" collapsed="false">
      <c r="A28" s="96" t="s">
        <v>101</v>
      </c>
      <c r="B28" s="96"/>
      <c r="C28" s="87" t="s">
        <v>74</v>
      </c>
      <c r="D28" s="87"/>
      <c r="E28" s="87" t="s">
        <v>72</v>
      </c>
      <c r="F28" s="87"/>
      <c r="G28" s="97"/>
      <c r="H28" s="97"/>
      <c r="I28" s="87" t="s">
        <v>69</v>
      </c>
      <c r="J28" s="87"/>
      <c r="K28" s="87" t="s">
        <v>116</v>
      </c>
      <c r="L28" s="87"/>
      <c r="M28" s="87" t="s">
        <v>72</v>
      </c>
      <c r="N28" s="87"/>
    </row>
    <row r="29" customFormat="false" ht="24" hidden="false" customHeight="true" outlineLevel="0" collapsed="false">
      <c r="A29" s="86" t="s">
        <v>69</v>
      </c>
      <c r="B29" s="86"/>
      <c r="C29" s="87" t="s">
        <v>69</v>
      </c>
      <c r="D29" s="87"/>
      <c r="E29" s="87" t="s">
        <v>69</v>
      </c>
      <c r="F29" s="87"/>
      <c r="G29" s="87" t="s">
        <v>69</v>
      </c>
      <c r="H29" s="87"/>
      <c r="I29" s="87" t="s">
        <v>69</v>
      </c>
      <c r="J29" s="87"/>
      <c r="K29" s="87" t="s">
        <v>69</v>
      </c>
      <c r="L29" s="87"/>
      <c r="M29" s="87" t="s">
        <v>69</v>
      </c>
      <c r="N29" s="87"/>
    </row>
    <row r="30" customFormat="false" ht="24" hidden="false" customHeight="true" outlineLevel="0" collapsed="false">
      <c r="A30" s="91" t="s">
        <v>69</v>
      </c>
      <c r="B30" s="92" t="n">
        <v>0.3625</v>
      </c>
      <c r="C30" s="93" t="s">
        <v>69</v>
      </c>
      <c r="D30" s="92" t="n">
        <v>0.333333333333333</v>
      </c>
      <c r="E30" s="93" t="s">
        <v>69</v>
      </c>
      <c r="F30" s="92" t="n">
        <v>0</v>
      </c>
      <c r="G30" s="93" t="s">
        <v>69</v>
      </c>
      <c r="H30" s="92" t="n">
        <v>0.25</v>
      </c>
      <c r="I30" s="93" t="s">
        <v>69</v>
      </c>
      <c r="J30" s="92" t="n">
        <v>0.294444444444444</v>
      </c>
      <c r="K30" s="93" t="s">
        <v>69</v>
      </c>
      <c r="L30" s="92" t="n">
        <v>0.342361111111111</v>
      </c>
      <c r="M30" s="93" t="s">
        <v>69</v>
      </c>
      <c r="N30" s="92" t="n">
        <v>0</v>
      </c>
    </row>
    <row r="31" customFormat="false" ht="24" hidden="false" customHeight="true" outlineLevel="0" collapsed="false">
      <c r="A31" s="73" t="s">
        <v>69</v>
      </c>
      <c r="B31" s="74" t="s">
        <v>69</v>
      </c>
      <c r="C31" s="76" t="n">
        <v>0.629861111111111</v>
      </c>
      <c r="D31" s="77" t="n">
        <v>0.879861111111111</v>
      </c>
      <c r="E31" s="78" t="n">
        <v>0.543055555555555</v>
      </c>
      <c r="F31" s="79" t="n">
        <v>0.8375</v>
      </c>
      <c r="G31" s="94"/>
      <c r="H31" s="94"/>
      <c r="I31" s="76" t="n">
        <v>0.325694444444444</v>
      </c>
      <c r="J31" s="77" t="n">
        <v>0.734027777777778</v>
      </c>
      <c r="K31" s="78" t="n">
        <v>0.543055555555555</v>
      </c>
      <c r="L31" s="79" t="n">
        <v>0.8375</v>
      </c>
      <c r="M31" s="78" t="n">
        <v>0.543055555555555</v>
      </c>
      <c r="N31" s="79" t="n">
        <v>0.8375</v>
      </c>
    </row>
    <row r="32" customFormat="false" ht="24" hidden="false" customHeight="true" outlineLevel="0" collapsed="false">
      <c r="A32" s="80" t="s">
        <v>69</v>
      </c>
      <c r="B32" s="81" t="s">
        <v>69</v>
      </c>
      <c r="C32" s="83" t="s">
        <v>96</v>
      </c>
      <c r="D32" s="95" t="s">
        <v>97</v>
      </c>
      <c r="E32" s="82" t="s">
        <v>98</v>
      </c>
      <c r="F32" s="85" t="s">
        <v>99</v>
      </c>
      <c r="G32" s="94"/>
      <c r="H32" s="94"/>
      <c r="I32" s="83" t="s">
        <v>82</v>
      </c>
      <c r="J32" s="84"/>
      <c r="K32" s="82" t="s">
        <v>98</v>
      </c>
      <c r="L32" s="85" t="s">
        <v>99</v>
      </c>
      <c r="M32" s="82" t="s">
        <v>103</v>
      </c>
      <c r="N32" s="85" t="s">
        <v>99</v>
      </c>
    </row>
    <row r="33" customFormat="false" ht="24" hidden="false" customHeight="true" outlineLevel="0" collapsed="false">
      <c r="A33" s="86" t="s">
        <v>72</v>
      </c>
      <c r="B33" s="86"/>
      <c r="C33" s="97"/>
      <c r="D33" s="97"/>
      <c r="E33" s="87" t="s">
        <v>69</v>
      </c>
      <c r="F33" s="87"/>
      <c r="G33" s="87" t="s">
        <v>72</v>
      </c>
      <c r="H33" s="87"/>
      <c r="I33" s="89" t="s">
        <v>86</v>
      </c>
      <c r="J33" s="89"/>
      <c r="K33" s="87" t="s">
        <v>69</v>
      </c>
      <c r="L33" s="87"/>
      <c r="M33" s="87" t="s">
        <v>69</v>
      </c>
      <c r="N33" s="87"/>
    </row>
    <row r="34" customFormat="false" ht="24" hidden="false" customHeight="true" outlineLevel="0" collapsed="false">
      <c r="A34" s="86" t="s">
        <v>69</v>
      </c>
      <c r="B34" s="86"/>
      <c r="C34" s="87" t="s">
        <v>69</v>
      </c>
      <c r="D34" s="87"/>
      <c r="E34" s="87" t="s">
        <v>69</v>
      </c>
      <c r="F34" s="87"/>
      <c r="G34" s="94"/>
      <c r="H34" s="94"/>
      <c r="I34" s="86" t="s">
        <v>69</v>
      </c>
      <c r="J34" s="86"/>
      <c r="K34" s="87" t="s">
        <v>69</v>
      </c>
      <c r="L34" s="87"/>
      <c r="M34" s="87" t="s">
        <v>69</v>
      </c>
      <c r="N34" s="87"/>
    </row>
    <row r="35" customFormat="false" ht="24" hidden="false" customHeight="true" outlineLevel="0" collapsed="false">
      <c r="A35" s="91" t="s">
        <v>69</v>
      </c>
      <c r="B35" s="92" t="n">
        <v>0</v>
      </c>
      <c r="C35" s="93" t="s">
        <v>69</v>
      </c>
      <c r="D35" s="92" t="n">
        <v>0.25</v>
      </c>
      <c r="E35" s="93" t="s">
        <v>69</v>
      </c>
      <c r="F35" s="92" t="n">
        <v>0.294444444444444</v>
      </c>
      <c r="G35" s="93" t="s">
        <v>69</v>
      </c>
      <c r="H35" s="92" t="n">
        <v>0</v>
      </c>
      <c r="I35" s="93" t="s">
        <v>69</v>
      </c>
      <c r="J35" s="92" t="n">
        <v>0.408333333333333</v>
      </c>
      <c r="K35" s="93" t="s">
        <v>69</v>
      </c>
      <c r="L35" s="92" t="n">
        <v>0.294444444444444</v>
      </c>
      <c r="M35" s="93" t="s">
        <v>69</v>
      </c>
      <c r="N35" s="92" t="n">
        <v>0.294444444444444</v>
      </c>
    </row>
    <row r="36" customFormat="false" ht="24" hidden="false" customHeight="true" outlineLevel="0" collapsed="false">
      <c r="A36" s="76" t="n">
        <v>0.580555555555556</v>
      </c>
      <c r="B36" s="77" t="n">
        <v>0.924305555555556</v>
      </c>
      <c r="C36" s="78" t="n">
        <v>0.543055555555555</v>
      </c>
      <c r="D36" s="79" t="n">
        <v>0.8375</v>
      </c>
      <c r="E36" s="94"/>
      <c r="F36" s="94"/>
      <c r="G36" s="103" t="n">
        <v>0.583333333333333</v>
      </c>
      <c r="H36" s="79" t="n">
        <v>0.916666666666667</v>
      </c>
      <c r="I36" s="76" t="n">
        <v>0.629861111111111</v>
      </c>
      <c r="J36" s="77" t="n">
        <v>0.879861111111111</v>
      </c>
      <c r="K36" s="75" t="s">
        <v>69</v>
      </c>
      <c r="L36" s="74" t="s">
        <v>69</v>
      </c>
      <c r="M36" s="75" t="s">
        <v>69</v>
      </c>
      <c r="N36" s="74" t="s">
        <v>69</v>
      </c>
    </row>
    <row r="37" customFormat="false" ht="24" hidden="false" customHeight="true" outlineLevel="0" collapsed="false">
      <c r="A37" s="83" t="s">
        <v>104</v>
      </c>
      <c r="B37" s="95" t="s">
        <v>105</v>
      </c>
      <c r="C37" s="82" t="s">
        <v>98</v>
      </c>
      <c r="D37" s="85" t="s">
        <v>99</v>
      </c>
      <c r="E37" s="94"/>
      <c r="F37" s="94"/>
      <c r="G37" s="80" t="s">
        <v>69</v>
      </c>
      <c r="H37" s="85" t="s">
        <v>69</v>
      </c>
      <c r="I37" s="83" t="s">
        <v>96</v>
      </c>
      <c r="J37" s="95" t="s">
        <v>97</v>
      </c>
      <c r="K37" s="82" t="s">
        <v>69</v>
      </c>
      <c r="L37" s="85" t="s">
        <v>69</v>
      </c>
      <c r="M37" s="82" t="s">
        <v>69</v>
      </c>
      <c r="N37" s="81" t="s">
        <v>69</v>
      </c>
    </row>
    <row r="38" customFormat="false" ht="24" hidden="false" customHeight="true" outlineLevel="0" collapsed="false">
      <c r="A38" s="96" t="s">
        <v>106</v>
      </c>
      <c r="B38" s="96"/>
      <c r="C38" s="87" t="s">
        <v>69</v>
      </c>
      <c r="D38" s="87"/>
      <c r="E38" s="87" t="s">
        <v>72</v>
      </c>
      <c r="F38" s="87"/>
      <c r="G38" s="87" t="s">
        <v>74</v>
      </c>
      <c r="H38" s="87"/>
      <c r="I38" s="97"/>
      <c r="J38" s="97"/>
      <c r="K38" s="87" t="s">
        <v>23</v>
      </c>
      <c r="L38" s="87"/>
      <c r="M38" s="87" t="s">
        <v>72</v>
      </c>
      <c r="N38" s="87"/>
    </row>
    <row r="39" customFormat="false" ht="24" hidden="false" customHeight="true" outlineLevel="0" collapsed="false">
      <c r="A39" s="86" t="s">
        <v>69</v>
      </c>
      <c r="B39" s="86"/>
      <c r="C39" s="94"/>
      <c r="D39" s="94"/>
      <c r="E39" s="86" t="s">
        <v>69</v>
      </c>
      <c r="F39" s="86"/>
      <c r="G39" s="87" t="s">
        <v>69</v>
      </c>
      <c r="H39" s="87"/>
      <c r="I39" s="87" t="s">
        <v>69</v>
      </c>
      <c r="J39" s="87"/>
      <c r="K39" s="87" t="s">
        <v>69</v>
      </c>
      <c r="L39" s="87"/>
      <c r="M39" s="87" t="s">
        <v>69</v>
      </c>
      <c r="N39" s="87"/>
    </row>
    <row r="40" customFormat="false" ht="24" hidden="false" customHeight="true" outlineLevel="0" collapsed="false">
      <c r="A40" s="91" t="s">
        <v>69</v>
      </c>
      <c r="B40" s="92" t="n">
        <v>0.34375</v>
      </c>
      <c r="C40" s="93" t="s">
        <v>69</v>
      </c>
      <c r="D40" s="92" t="n">
        <v>0.294444444444444</v>
      </c>
      <c r="E40" s="93" t="s">
        <v>69</v>
      </c>
      <c r="F40" s="92" t="n">
        <v>0</v>
      </c>
      <c r="G40" s="93" t="s">
        <v>69</v>
      </c>
      <c r="H40" s="92" t="n">
        <v>0.333333333333333</v>
      </c>
      <c r="I40" s="93" t="s">
        <v>69</v>
      </c>
      <c r="J40" s="92" t="n">
        <v>0.25</v>
      </c>
      <c r="K40" s="93" t="s">
        <v>69</v>
      </c>
      <c r="L40" s="92" t="n">
        <v>0.333333333333333</v>
      </c>
      <c r="M40" s="93" t="s">
        <v>69</v>
      </c>
      <c r="N40" s="92" t="n">
        <v>0</v>
      </c>
    </row>
    <row r="41" customFormat="false" ht="24" hidden="false" customHeight="true" outlineLevel="0" collapsed="false">
      <c r="A41" s="73" t="s">
        <v>69</v>
      </c>
      <c r="B41" s="74" t="s">
        <v>69</v>
      </c>
      <c r="C41" s="94"/>
      <c r="D41" s="94"/>
      <c r="E41" s="103" t="n">
        <v>0.572916666666667</v>
      </c>
      <c r="F41" s="79" t="n">
        <v>0.915277777777778</v>
      </c>
      <c r="G41" s="76" t="n">
        <v>0.738194444444444</v>
      </c>
      <c r="H41" s="77" t="n">
        <v>0.988194444444444</v>
      </c>
      <c r="I41" s="78" t="n">
        <v>0.572916666666667</v>
      </c>
      <c r="J41" s="79" t="n">
        <v>0.915277777777778</v>
      </c>
      <c r="K41" s="78" t="n">
        <v>0.816666666666667</v>
      </c>
      <c r="L41" s="78" t="n">
        <v>0.0666666666666667</v>
      </c>
      <c r="M41" s="103" t="n">
        <v>0.604166666666667</v>
      </c>
      <c r="N41" s="79" t="n">
        <v>0.943055555555556</v>
      </c>
    </row>
    <row r="42" customFormat="false" ht="24" hidden="false" customHeight="true" outlineLevel="0" collapsed="false">
      <c r="A42" s="80" t="s">
        <v>69</v>
      </c>
      <c r="B42" s="81" t="s">
        <v>69</v>
      </c>
      <c r="C42" s="94"/>
      <c r="D42" s="94"/>
      <c r="E42" s="80" t="s">
        <v>100</v>
      </c>
      <c r="F42" s="81" t="s">
        <v>69</v>
      </c>
      <c r="G42" s="83" t="s">
        <v>107</v>
      </c>
      <c r="H42" s="95" t="s">
        <v>108</v>
      </c>
      <c r="I42" s="82" t="s">
        <v>100</v>
      </c>
      <c r="J42" s="81" t="s">
        <v>69</v>
      </c>
      <c r="K42" s="82" t="s">
        <v>109</v>
      </c>
      <c r="L42" s="100" t="s">
        <v>110</v>
      </c>
      <c r="M42" s="80" t="s">
        <v>111</v>
      </c>
      <c r="N42" s="81" t="s">
        <v>69</v>
      </c>
    </row>
    <row r="43" customFormat="false" ht="24" hidden="false" customHeight="true" outlineLevel="0" collapsed="false">
      <c r="A43" s="86" t="s">
        <v>72</v>
      </c>
      <c r="B43" s="86"/>
      <c r="C43" s="87" t="s">
        <v>72</v>
      </c>
      <c r="D43" s="87"/>
      <c r="E43" s="87" t="s">
        <v>116</v>
      </c>
      <c r="F43" s="87"/>
      <c r="G43" s="97"/>
      <c r="H43" s="97"/>
      <c r="I43" s="87" t="s">
        <v>116</v>
      </c>
      <c r="J43" s="87"/>
      <c r="K43" s="101" t="s">
        <v>69</v>
      </c>
      <c r="L43" s="101"/>
      <c r="M43" s="86" t="s">
        <v>112</v>
      </c>
      <c r="N43" s="86"/>
    </row>
    <row r="44" customFormat="false" ht="24" hidden="false" customHeight="true" outlineLevel="0" collapsed="false">
      <c r="A44" s="86" t="s">
        <v>69</v>
      </c>
      <c r="B44" s="86"/>
      <c r="C44" s="87" t="s">
        <v>69</v>
      </c>
      <c r="D44" s="87"/>
      <c r="E44" s="87" t="s">
        <v>69</v>
      </c>
      <c r="F44" s="87"/>
      <c r="G44" s="87" t="s">
        <v>69</v>
      </c>
      <c r="H44" s="87"/>
      <c r="I44" s="87" t="s">
        <v>69</v>
      </c>
      <c r="J44" s="87"/>
      <c r="K44" s="101" t="s">
        <v>69</v>
      </c>
      <c r="L44" s="101"/>
      <c r="M44" s="86" t="s">
        <v>69</v>
      </c>
      <c r="N44" s="86"/>
    </row>
    <row r="45" customFormat="false" ht="24" hidden="false" customHeight="true" outlineLevel="0" collapsed="false">
      <c r="A45" s="91" t="s">
        <v>69</v>
      </c>
      <c r="B45" s="92" t="n">
        <v>0</v>
      </c>
      <c r="C45" s="93" t="s">
        <v>69</v>
      </c>
      <c r="D45" s="92" t="n">
        <v>0</v>
      </c>
      <c r="E45" s="93" t="s">
        <v>69</v>
      </c>
      <c r="F45" s="92" t="n">
        <v>0.342361111111111</v>
      </c>
      <c r="G45" s="93" t="s">
        <v>69</v>
      </c>
      <c r="H45" s="92" t="n">
        <v>0.25</v>
      </c>
      <c r="I45" s="93" t="s">
        <v>69</v>
      </c>
      <c r="J45" s="92" t="n">
        <v>0.342361111111111</v>
      </c>
      <c r="K45" s="93" t="s">
        <v>69</v>
      </c>
      <c r="L45" s="102" t="n">
        <v>0.25</v>
      </c>
      <c r="M45" s="91" t="s">
        <v>69</v>
      </c>
      <c r="N45" s="92" t="n">
        <v>0.338888888888889</v>
      </c>
    </row>
    <row r="46" customFormat="false" ht="24" hidden="false" customHeight="true" outlineLevel="0" collapsed="false">
      <c r="A46" s="103" t="n">
        <v>0.543055555555555</v>
      </c>
      <c r="B46" s="79" t="n">
        <v>0.8375</v>
      </c>
      <c r="C46" s="94"/>
      <c r="D46" s="94"/>
      <c r="E46" s="103" t="n">
        <v>0.276388888888889</v>
      </c>
      <c r="F46" s="79" t="n">
        <v>0.56875</v>
      </c>
      <c r="G46" s="78" t="n">
        <v>0.208333333333333</v>
      </c>
      <c r="H46" s="79" t="n">
        <v>0.541666666666667</v>
      </c>
      <c r="I46" s="76" t="n">
        <v>0.215972222222222</v>
      </c>
      <c r="J46" s="77" t="n">
        <v>0.598611111111111</v>
      </c>
      <c r="K46" s="78" t="n">
        <v>0.208333333333333</v>
      </c>
      <c r="L46" s="79" t="n">
        <v>0.541666666666667</v>
      </c>
      <c r="M46" s="75" t="s">
        <v>69</v>
      </c>
      <c r="N46" s="74" t="s">
        <v>69</v>
      </c>
    </row>
    <row r="47" customFormat="false" ht="24" hidden="false" customHeight="true" outlineLevel="0" collapsed="false">
      <c r="A47" s="80" t="s">
        <v>113</v>
      </c>
      <c r="B47" s="85" t="s">
        <v>99</v>
      </c>
      <c r="C47" s="94"/>
      <c r="D47" s="94"/>
      <c r="E47" s="80" t="s">
        <v>78</v>
      </c>
      <c r="F47" s="85" t="s">
        <v>117</v>
      </c>
      <c r="G47" s="82" t="s">
        <v>69</v>
      </c>
      <c r="H47" s="85" t="s">
        <v>69</v>
      </c>
      <c r="I47" s="83" t="s">
        <v>77</v>
      </c>
      <c r="J47" s="84"/>
      <c r="K47" s="82" t="s">
        <v>69</v>
      </c>
      <c r="L47" s="85" t="s">
        <v>69</v>
      </c>
      <c r="M47" s="82" t="s">
        <v>69</v>
      </c>
      <c r="N47" s="81" t="s">
        <v>69</v>
      </c>
    </row>
    <row r="48" customFormat="false" ht="24" hidden="false" customHeight="true" outlineLevel="0" collapsed="false">
      <c r="A48" s="86" t="s">
        <v>69</v>
      </c>
      <c r="B48" s="86"/>
      <c r="C48" s="87" t="s">
        <v>72</v>
      </c>
      <c r="D48" s="87"/>
      <c r="E48" s="87" t="s">
        <v>69</v>
      </c>
      <c r="F48" s="87"/>
      <c r="G48" s="87" t="s">
        <v>74</v>
      </c>
      <c r="H48" s="87"/>
      <c r="I48" s="96" t="s">
        <v>81</v>
      </c>
      <c r="J48" s="96"/>
      <c r="K48" s="87" t="s">
        <v>74</v>
      </c>
      <c r="L48" s="87"/>
      <c r="M48" s="87" t="s">
        <v>72</v>
      </c>
      <c r="N48" s="87"/>
    </row>
    <row r="49" customFormat="false" ht="24" hidden="false" customHeight="true" outlineLevel="0" collapsed="false">
      <c r="A49" s="86" t="s">
        <v>69</v>
      </c>
      <c r="B49" s="86"/>
      <c r="C49" s="87" t="s">
        <v>69</v>
      </c>
      <c r="D49" s="87"/>
      <c r="E49" s="87" t="s">
        <v>69</v>
      </c>
      <c r="F49" s="87"/>
      <c r="G49" s="87" t="s">
        <v>69</v>
      </c>
      <c r="H49" s="87"/>
      <c r="I49" s="87" t="s">
        <v>69</v>
      </c>
      <c r="J49" s="87"/>
      <c r="K49" s="87" t="s">
        <v>69</v>
      </c>
      <c r="L49" s="87"/>
      <c r="M49" s="87" t="s">
        <v>69</v>
      </c>
      <c r="N49" s="87"/>
    </row>
    <row r="50" customFormat="false" ht="24" hidden="false" customHeight="true" outlineLevel="0" collapsed="false">
      <c r="A50" s="91" t="s">
        <v>69</v>
      </c>
      <c r="B50" s="92" t="n">
        <v>0.294444444444444</v>
      </c>
      <c r="C50" s="93" t="s">
        <v>69</v>
      </c>
      <c r="D50" s="92" t="n">
        <v>0</v>
      </c>
      <c r="E50" s="93" t="s">
        <v>69</v>
      </c>
      <c r="F50" s="92" t="n">
        <v>0.292361111111111</v>
      </c>
      <c r="G50" s="93" t="s">
        <v>69</v>
      </c>
      <c r="H50" s="92" t="n">
        <v>0.333333333333333</v>
      </c>
      <c r="I50" s="93" t="s">
        <v>69</v>
      </c>
      <c r="J50" s="92" t="n">
        <v>0.382638888888889</v>
      </c>
      <c r="K50" s="93" t="s">
        <v>69</v>
      </c>
      <c r="L50" s="92" t="n">
        <v>0.333333333333333</v>
      </c>
      <c r="M50" s="93" t="s">
        <v>69</v>
      </c>
      <c r="N50" s="92" t="n">
        <v>0</v>
      </c>
    </row>
    <row r="51" customFormat="false" ht="24" hidden="false" customHeight="true" outlineLevel="0" collapsed="false">
      <c r="A51" s="73" t="s">
        <v>69</v>
      </c>
      <c r="B51" s="74" t="s">
        <v>69</v>
      </c>
      <c r="C51" s="78" t="n">
        <v>0.572916666666667</v>
      </c>
      <c r="D51" s="79" t="n">
        <v>0.915277777777778</v>
      </c>
      <c r="E51" s="78" t="n">
        <v>0.583333333333333</v>
      </c>
      <c r="F51" s="79" t="n">
        <v>0.916666666666667</v>
      </c>
      <c r="G51" s="78" t="n">
        <v>0.572916666666667</v>
      </c>
      <c r="H51" s="79" t="n">
        <v>0.915277777777778</v>
      </c>
      <c r="I51" s="76" t="n">
        <v>0.738194444444444</v>
      </c>
      <c r="J51" s="77" t="n">
        <v>0.988194444444444</v>
      </c>
      <c r="K51" s="76" t="n">
        <v>0.738194444444444</v>
      </c>
      <c r="L51" s="77" t="n">
        <v>0.988194444444444</v>
      </c>
      <c r="M51" s="75" t="s">
        <v>69</v>
      </c>
      <c r="N51" s="74" t="s">
        <v>69</v>
      </c>
    </row>
    <row r="52" customFormat="false" ht="24" hidden="false" customHeight="true" outlineLevel="0" collapsed="false">
      <c r="A52" s="80" t="s">
        <v>69</v>
      </c>
      <c r="B52" s="85" t="s">
        <v>69</v>
      </c>
      <c r="C52" s="82" t="s">
        <v>100</v>
      </c>
      <c r="D52" s="81" t="s">
        <v>69</v>
      </c>
      <c r="E52" s="82" t="s">
        <v>69</v>
      </c>
      <c r="F52" s="81" t="s">
        <v>69</v>
      </c>
      <c r="G52" s="82" t="s">
        <v>100</v>
      </c>
      <c r="H52" s="81" t="s">
        <v>69</v>
      </c>
      <c r="I52" s="83" t="s">
        <v>107</v>
      </c>
      <c r="J52" s="95" t="s">
        <v>108</v>
      </c>
      <c r="K52" s="83" t="s">
        <v>107</v>
      </c>
      <c r="L52" s="95" t="s">
        <v>108</v>
      </c>
      <c r="M52" s="82" t="s">
        <v>69</v>
      </c>
      <c r="N52" s="81" t="s">
        <v>69</v>
      </c>
    </row>
    <row r="53" customFormat="false" ht="24" hidden="false" customHeight="true" outlineLevel="0" collapsed="false">
      <c r="A53" s="86" t="s">
        <v>72</v>
      </c>
      <c r="B53" s="86"/>
      <c r="C53" s="87" t="s">
        <v>116</v>
      </c>
      <c r="D53" s="87"/>
      <c r="E53" s="87" t="s">
        <v>74</v>
      </c>
      <c r="F53" s="87"/>
      <c r="G53" s="87" t="s">
        <v>116</v>
      </c>
      <c r="H53" s="87"/>
      <c r="I53" s="97"/>
      <c r="J53" s="97"/>
      <c r="K53" s="97"/>
      <c r="L53" s="97"/>
      <c r="M53" s="87" t="s">
        <v>72</v>
      </c>
      <c r="N53" s="87"/>
    </row>
    <row r="54" customFormat="false" ht="24" hidden="false" customHeight="true" outlineLevel="0" collapsed="false">
      <c r="A54" s="86" t="s">
        <v>69</v>
      </c>
      <c r="B54" s="86"/>
      <c r="C54" s="87" t="s">
        <v>69</v>
      </c>
      <c r="D54" s="87"/>
      <c r="E54" s="87" t="s">
        <v>69</v>
      </c>
      <c r="F54" s="87"/>
      <c r="G54" s="87" t="s">
        <v>69</v>
      </c>
      <c r="H54" s="87"/>
      <c r="I54" s="87" t="s">
        <v>69</v>
      </c>
      <c r="J54" s="87"/>
      <c r="K54" s="87" t="s">
        <v>69</v>
      </c>
      <c r="L54" s="87"/>
      <c r="M54" s="87" t="s">
        <v>69</v>
      </c>
      <c r="N54" s="87"/>
    </row>
    <row r="55" customFormat="false" ht="24" hidden="false" customHeight="true" outlineLevel="0" collapsed="false">
      <c r="A55" s="91" t="s">
        <v>69</v>
      </c>
      <c r="B55" s="92" t="n">
        <v>0</v>
      </c>
      <c r="C55" s="93" t="s">
        <v>69</v>
      </c>
      <c r="D55" s="92" t="n">
        <v>0.342361111111111</v>
      </c>
      <c r="E55" s="93" t="s">
        <v>69</v>
      </c>
      <c r="F55" s="92" t="n">
        <v>0.333333333333333</v>
      </c>
      <c r="G55" s="93" t="s">
        <v>69</v>
      </c>
      <c r="H55" s="92" t="n">
        <v>0.342361111111111</v>
      </c>
      <c r="I55" s="93" t="s">
        <v>69</v>
      </c>
      <c r="J55" s="92" t="n">
        <v>0.25</v>
      </c>
      <c r="K55" s="93" t="s">
        <v>69</v>
      </c>
      <c r="L55" s="102" t="n">
        <v>0.25</v>
      </c>
      <c r="M55" s="91" t="s">
        <v>69</v>
      </c>
      <c r="N55" s="92" t="n">
        <v>0</v>
      </c>
    </row>
  </sheetData>
  <mergeCells count="151">
    <mergeCell ref="A3:B3"/>
    <mergeCell ref="C3:D3"/>
    <mergeCell ref="E3:F3"/>
    <mergeCell ref="G3:H3"/>
    <mergeCell ref="I3:J3"/>
    <mergeCell ref="K3:L3"/>
    <mergeCell ref="M3:N3"/>
    <mergeCell ref="A4:B4"/>
    <mergeCell ref="C4:D4"/>
    <mergeCell ref="E4:F4"/>
    <mergeCell ref="G4:H4"/>
    <mergeCell ref="I4:J4"/>
    <mergeCell ref="K4:L4"/>
    <mergeCell ref="M4:N4"/>
    <mergeCell ref="A8:B8"/>
    <mergeCell ref="C8:D8"/>
    <mergeCell ref="E8:F8"/>
    <mergeCell ref="G8:H8"/>
    <mergeCell ref="I8:J8"/>
    <mergeCell ref="K8:L8"/>
    <mergeCell ref="M8:N8"/>
    <mergeCell ref="A9:B9"/>
    <mergeCell ref="C9:D9"/>
    <mergeCell ref="E9:F9"/>
    <mergeCell ref="I9:J9"/>
    <mergeCell ref="K9:L9"/>
    <mergeCell ref="M9:N9"/>
    <mergeCell ref="A13:B13"/>
    <mergeCell ref="C13:D13"/>
    <mergeCell ref="E13:F13"/>
    <mergeCell ref="G13:H13"/>
    <mergeCell ref="I13:J13"/>
    <mergeCell ref="K13:L13"/>
    <mergeCell ref="M13:N13"/>
    <mergeCell ref="A14:B14"/>
    <mergeCell ref="C14:D14"/>
    <mergeCell ref="E14:F14"/>
    <mergeCell ref="G14:H14"/>
    <mergeCell ref="I14:J14"/>
    <mergeCell ref="K14:L14"/>
    <mergeCell ref="M14:N14"/>
    <mergeCell ref="A18:B18"/>
    <mergeCell ref="C18:D18"/>
    <mergeCell ref="E18:F18"/>
    <mergeCell ref="G18:H18"/>
    <mergeCell ref="I18:J18"/>
    <mergeCell ref="K18:L18"/>
    <mergeCell ref="M18:N18"/>
    <mergeCell ref="A19:B19"/>
    <mergeCell ref="C19:D19"/>
    <mergeCell ref="E19:F19"/>
    <mergeCell ref="G19:H19"/>
    <mergeCell ref="I19:J19"/>
    <mergeCell ref="K19:L19"/>
    <mergeCell ref="M19:N19"/>
    <mergeCell ref="A23:B23"/>
    <mergeCell ref="C23:D23"/>
    <mergeCell ref="E23:F23"/>
    <mergeCell ref="G23:H23"/>
    <mergeCell ref="I23:J23"/>
    <mergeCell ref="K23:L23"/>
    <mergeCell ref="M23:N23"/>
    <mergeCell ref="A24:B24"/>
    <mergeCell ref="C24:D24"/>
    <mergeCell ref="E24:F24"/>
    <mergeCell ref="G24:H24"/>
    <mergeCell ref="I24:J24"/>
    <mergeCell ref="K24:L24"/>
    <mergeCell ref="M24:N24"/>
    <mergeCell ref="A28:B28"/>
    <mergeCell ref="C28:D28"/>
    <mergeCell ref="E28:F28"/>
    <mergeCell ref="G28:H28"/>
    <mergeCell ref="I28:J28"/>
    <mergeCell ref="K28:L28"/>
    <mergeCell ref="M28:N28"/>
    <mergeCell ref="A29:B29"/>
    <mergeCell ref="C29:D29"/>
    <mergeCell ref="E29:F29"/>
    <mergeCell ref="G29:H29"/>
    <mergeCell ref="I29:J29"/>
    <mergeCell ref="K29:L29"/>
    <mergeCell ref="M29:N29"/>
    <mergeCell ref="A33:B33"/>
    <mergeCell ref="C33:D33"/>
    <mergeCell ref="E33:F33"/>
    <mergeCell ref="G33:H33"/>
    <mergeCell ref="I33:J33"/>
    <mergeCell ref="K33:L33"/>
    <mergeCell ref="M33:N33"/>
    <mergeCell ref="A34:B34"/>
    <mergeCell ref="C34:D34"/>
    <mergeCell ref="E34:F34"/>
    <mergeCell ref="I34:J34"/>
    <mergeCell ref="K34:L34"/>
    <mergeCell ref="M34:N34"/>
    <mergeCell ref="A38:B38"/>
    <mergeCell ref="C38:D38"/>
    <mergeCell ref="E38:F38"/>
    <mergeCell ref="G38:H38"/>
    <mergeCell ref="I38:J38"/>
    <mergeCell ref="K38:L38"/>
    <mergeCell ref="M38:N38"/>
    <mergeCell ref="A39:B39"/>
    <mergeCell ref="E39:F39"/>
    <mergeCell ref="G39:H39"/>
    <mergeCell ref="I39:J39"/>
    <mergeCell ref="K39:L39"/>
    <mergeCell ref="M39:N39"/>
    <mergeCell ref="A43:B43"/>
    <mergeCell ref="C43:D43"/>
    <mergeCell ref="E43:F43"/>
    <mergeCell ref="G43:H43"/>
    <mergeCell ref="I43:J43"/>
    <mergeCell ref="K43:L43"/>
    <mergeCell ref="M43:N43"/>
    <mergeCell ref="A44:B44"/>
    <mergeCell ref="C44:D44"/>
    <mergeCell ref="E44:F44"/>
    <mergeCell ref="G44:H44"/>
    <mergeCell ref="I44:J44"/>
    <mergeCell ref="K44:L44"/>
    <mergeCell ref="M44:N44"/>
    <mergeCell ref="A48:B48"/>
    <mergeCell ref="C48:D48"/>
    <mergeCell ref="E48:F48"/>
    <mergeCell ref="G48:H48"/>
    <mergeCell ref="I48:J48"/>
    <mergeCell ref="K48:L48"/>
    <mergeCell ref="M48:N48"/>
    <mergeCell ref="A49:B49"/>
    <mergeCell ref="C49:D49"/>
    <mergeCell ref="E49:F49"/>
    <mergeCell ref="G49:H49"/>
    <mergeCell ref="I49:J49"/>
    <mergeCell ref="K49:L49"/>
    <mergeCell ref="M49:N49"/>
    <mergeCell ref="A53:B53"/>
    <mergeCell ref="C53:D53"/>
    <mergeCell ref="E53:F53"/>
    <mergeCell ref="G53:H53"/>
    <mergeCell ref="I53:J53"/>
    <mergeCell ref="K53:L53"/>
    <mergeCell ref="M53:N53"/>
    <mergeCell ref="A54:B54"/>
    <mergeCell ref="C54:D54"/>
    <mergeCell ref="E54:F54"/>
    <mergeCell ref="G54:H54"/>
    <mergeCell ref="I54:J54"/>
    <mergeCell ref="K54:L54"/>
    <mergeCell ref="M54:N54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55"/>
  <sheetViews>
    <sheetView showFormulas="false" showGridLines="true" showRowColHeaders="true" showZeros="true" rightToLeft="false" tabSelected="true" showOutlineSymbols="true" defaultGridColor="true" view="normal" topLeftCell="A1" colorId="64" zoomScale="90" zoomScaleNormal="90" zoomScalePageLayoutView="100" workbookViewId="0">
      <selection pane="topLeft" activeCell="I3" activeCellId="0" sqref="I3"/>
    </sheetView>
  </sheetViews>
  <sheetFormatPr defaultColWidth="8.7421875" defaultRowHeight="12.8" zeroHeight="false" outlineLevelRow="0" outlineLevelCol="0"/>
  <cols>
    <col collapsed="false" customWidth="true" hidden="false" outlineLevel="0" max="14" min="1" style="0" width="16.57"/>
    <col collapsed="false" customWidth="true" hidden="false" outlineLevel="0" max="1024" min="1023" style="0" width="11.52"/>
  </cols>
  <sheetData>
    <row r="1" customFormat="false" ht="23.25" hidden="false" customHeight="true" outlineLevel="0" collapsed="false">
      <c r="A1" s="73" t="s">
        <v>69</v>
      </c>
      <c r="B1" s="74" t="s">
        <v>69</v>
      </c>
      <c r="C1" s="75" t="s">
        <v>69</v>
      </c>
      <c r="D1" s="74" t="s">
        <v>69</v>
      </c>
      <c r="E1" s="75" t="s">
        <v>69</v>
      </c>
      <c r="F1" s="74" t="s">
        <v>69</v>
      </c>
      <c r="G1" s="76" t="n">
        <v>0.191666666666667</v>
      </c>
      <c r="H1" s="77" t="n">
        <v>0.513194444444444</v>
      </c>
      <c r="I1" s="78" t="n">
        <v>0.276388888888889</v>
      </c>
      <c r="J1" s="79" t="n">
        <v>0.56875</v>
      </c>
      <c r="K1" s="76" t="n">
        <v>0.191666666666667</v>
      </c>
      <c r="L1" s="77" t="n">
        <v>0.513194444444444</v>
      </c>
      <c r="M1" s="76" t="n">
        <v>0.243055555555556</v>
      </c>
      <c r="N1" s="77" t="n">
        <v>0.5875</v>
      </c>
    </row>
    <row r="2" customFormat="false" ht="23.25" hidden="false" customHeight="true" outlineLevel="0" collapsed="false">
      <c r="A2" s="80" t="s">
        <v>69</v>
      </c>
      <c r="B2" s="81" t="s">
        <v>69</v>
      </c>
      <c r="C2" s="82" t="s">
        <v>69</v>
      </c>
      <c r="D2" s="81" t="s">
        <v>69</v>
      </c>
      <c r="E2" s="82" t="s">
        <v>69</v>
      </c>
      <c r="F2" s="81" t="s">
        <v>69</v>
      </c>
      <c r="G2" s="83" t="s">
        <v>70</v>
      </c>
      <c r="H2" s="84"/>
      <c r="I2" s="83" t="s">
        <v>78</v>
      </c>
      <c r="J2" s="77"/>
      <c r="K2" s="83" t="s">
        <v>70</v>
      </c>
      <c r="L2" s="84"/>
      <c r="M2" s="83" t="s">
        <v>71</v>
      </c>
      <c r="N2" s="84"/>
    </row>
    <row r="3" customFormat="false" ht="23.25" hidden="false" customHeight="true" outlineLevel="0" collapsed="false">
      <c r="A3" s="86" t="s">
        <v>72</v>
      </c>
      <c r="B3" s="86"/>
      <c r="C3" s="87" t="s">
        <v>72</v>
      </c>
      <c r="D3" s="87"/>
      <c r="E3" s="87" t="s">
        <v>23</v>
      </c>
      <c r="F3" s="87"/>
      <c r="G3" s="88" t="s">
        <v>73</v>
      </c>
      <c r="H3" s="88"/>
      <c r="I3" s="83" t="s">
        <v>79</v>
      </c>
      <c r="J3" s="83"/>
      <c r="K3" s="88" t="s">
        <v>73</v>
      </c>
      <c r="L3" s="88"/>
      <c r="M3" s="89" t="s">
        <v>75</v>
      </c>
      <c r="N3" s="89"/>
    </row>
    <row r="4" customFormat="false" ht="23.25" hidden="false" customHeight="true" outlineLevel="0" collapsed="false">
      <c r="A4" s="86" t="s">
        <v>69</v>
      </c>
      <c r="B4" s="86"/>
      <c r="C4" s="87" t="s">
        <v>69</v>
      </c>
      <c r="D4" s="87"/>
      <c r="E4" s="87" t="s">
        <v>69</v>
      </c>
      <c r="F4" s="87"/>
      <c r="G4" s="90"/>
      <c r="H4" s="90"/>
      <c r="I4" s="97"/>
      <c r="J4" s="97"/>
      <c r="K4" s="90"/>
      <c r="L4" s="90"/>
      <c r="M4" s="90"/>
      <c r="N4" s="90"/>
    </row>
    <row r="5" customFormat="false" ht="23.25" hidden="false" customHeight="true" outlineLevel="0" collapsed="false">
      <c r="A5" s="91" t="s">
        <v>69</v>
      </c>
      <c r="B5" s="92" t="n">
        <v>0</v>
      </c>
      <c r="C5" s="93" t="s">
        <v>69</v>
      </c>
      <c r="D5" s="92" t="n">
        <v>0</v>
      </c>
      <c r="E5" s="93" t="s">
        <v>69</v>
      </c>
      <c r="F5" s="92" t="n">
        <v>0.333333333333333</v>
      </c>
      <c r="G5" s="93" t="s">
        <v>69</v>
      </c>
      <c r="H5" s="92" t="n">
        <v>0.321527777777778</v>
      </c>
      <c r="I5" s="90"/>
      <c r="J5" s="90"/>
      <c r="K5" s="93" t="s">
        <v>69</v>
      </c>
      <c r="L5" s="92" t="n">
        <v>0.321527777777778</v>
      </c>
      <c r="M5" s="93" t="s">
        <v>69</v>
      </c>
      <c r="N5" s="92" t="n">
        <v>0.344444444444444</v>
      </c>
    </row>
    <row r="6" customFormat="false" ht="23.25" hidden="false" customHeight="true" outlineLevel="0" collapsed="false">
      <c r="A6" s="103" t="n">
        <v>0.272916666666667</v>
      </c>
      <c r="B6" s="79" t="n">
        <v>0.5875</v>
      </c>
      <c r="C6" s="76" t="n">
        <v>0.215972222222222</v>
      </c>
      <c r="D6" s="77" t="n">
        <v>0.598611111111111</v>
      </c>
      <c r="E6" s="76" t="n">
        <v>0.191666666666667</v>
      </c>
      <c r="F6" s="77" t="n">
        <v>0.513194444444444</v>
      </c>
      <c r="G6" s="94"/>
      <c r="H6" s="94"/>
      <c r="I6" s="76" t="n">
        <v>0.191666666666667</v>
      </c>
      <c r="J6" s="77" t="n">
        <v>0.513194444444444</v>
      </c>
      <c r="K6" s="76" t="n">
        <v>0.276388888888889</v>
      </c>
      <c r="L6" s="77" t="n">
        <v>0.56875</v>
      </c>
      <c r="M6" s="75" t="s">
        <v>69</v>
      </c>
      <c r="N6" s="74" t="s">
        <v>69</v>
      </c>
    </row>
    <row r="7" customFormat="false" ht="23.25" hidden="false" customHeight="true" outlineLevel="0" collapsed="false">
      <c r="A7" s="80" t="s">
        <v>76</v>
      </c>
      <c r="B7" s="81" t="s">
        <v>69</v>
      </c>
      <c r="C7" s="83" t="s">
        <v>77</v>
      </c>
      <c r="D7" s="84"/>
      <c r="E7" s="83" t="s">
        <v>70</v>
      </c>
      <c r="F7" s="84"/>
      <c r="G7" s="94"/>
      <c r="H7" s="94"/>
      <c r="I7" s="83" t="s">
        <v>70</v>
      </c>
      <c r="J7" s="84"/>
      <c r="K7" s="83" t="s">
        <v>78</v>
      </c>
      <c r="L7" s="95" t="s">
        <v>79</v>
      </c>
      <c r="M7" s="82" t="s">
        <v>69</v>
      </c>
      <c r="N7" s="85" t="s">
        <v>69</v>
      </c>
    </row>
    <row r="8" customFormat="false" ht="23.25" hidden="false" customHeight="true" outlineLevel="0" collapsed="false">
      <c r="A8" s="86" t="s">
        <v>118</v>
      </c>
      <c r="B8" s="86"/>
      <c r="C8" s="96" t="s">
        <v>81</v>
      </c>
      <c r="D8" s="96"/>
      <c r="E8" s="88" t="s">
        <v>73</v>
      </c>
      <c r="F8" s="88"/>
      <c r="G8" s="87" t="s">
        <v>72</v>
      </c>
      <c r="H8" s="87"/>
      <c r="I8" s="88" t="s">
        <v>73</v>
      </c>
      <c r="J8" s="88"/>
      <c r="K8" s="97"/>
      <c r="L8" s="97"/>
      <c r="M8" s="87" t="s">
        <v>72</v>
      </c>
      <c r="N8" s="87"/>
    </row>
    <row r="9" customFormat="false" ht="23.25" hidden="false" customHeight="true" outlineLevel="0" collapsed="false">
      <c r="A9" s="86" t="s">
        <v>69</v>
      </c>
      <c r="B9" s="86"/>
      <c r="C9" s="87" t="s">
        <v>69</v>
      </c>
      <c r="D9" s="87"/>
      <c r="E9" s="90"/>
      <c r="F9" s="90"/>
      <c r="G9" s="94"/>
      <c r="H9" s="94"/>
      <c r="I9" s="90"/>
      <c r="J9" s="90"/>
      <c r="K9" s="90"/>
      <c r="L9" s="90"/>
      <c r="M9" s="87" t="s">
        <v>69</v>
      </c>
      <c r="N9" s="87"/>
    </row>
    <row r="10" customFormat="false" ht="23.25" hidden="false" customHeight="true" outlineLevel="0" collapsed="false">
      <c r="A10" s="91" t="s">
        <v>69</v>
      </c>
      <c r="B10" s="92" t="n">
        <v>0.314583333333333</v>
      </c>
      <c r="C10" s="93" t="s">
        <v>69</v>
      </c>
      <c r="D10" s="92" t="n">
        <v>0.382638888888889</v>
      </c>
      <c r="E10" s="93" t="s">
        <v>69</v>
      </c>
      <c r="F10" s="92" t="n">
        <v>0.321527777777778</v>
      </c>
      <c r="G10" s="93" t="s">
        <v>69</v>
      </c>
      <c r="H10" s="92" t="n">
        <v>0</v>
      </c>
      <c r="I10" s="93" t="s">
        <v>69</v>
      </c>
      <c r="J10" s="92" t="n">
        <v>0.321527777777778</v>
      </c>
      <c r="K10" s="93" t="s">
        <v>69</v>
      </c>
      <c r="L10" s="92" t="n">
        <v>0.292361111111111</v>
      </c>
      <c r="M10" s="93" t="s">
        <v>69</v>
      </c>
      <c r="N10" s="92" t="n">
        <v>0</v>
      </c>
    </row>
    <row r="11" customFormat="false" ht="23.25" hidden="false" customHeight="true" outlineLevel="0" collapsed="false">
      <c r="A11" s="73" t="s">
        <v>69</v>
      </c>
      <c r="B11" s="74" t="s">
        <v>69</v>
      </c>
      <c r="C11" s="78" t="n">
        <v>0.208333333333333</v>
      </c>
      <c r="D11" s="79" t="n">
        <v>0.541666666666667</v>
      </c>
      <c r="E11" s="78" t="n">
        <v>0.208333333333333</v>
      </c>
      <c r="F11" s="79" t="n">
        <v>0.541666666666667</v>
      </c>
      <c r="G11" s="76" t="n">
        <v>0.325694444444444</v>
      </c>
      <c r="H11" s="77" t="n">
        <v>0.734027777777778</v>
      </c>
      <c r="I11" s="75" t="s">
        <v>69</v>
      </c>
      <c r="J11" s="74" t="s">
        <v>69</v>
      </c>
      <c r="K11" s="76" t="n">
        <v>0.338194444444444</v>
      </c>
      <c r="L11" s="77" t="n">
        <v>0.64375</v>
      </c>
      <c r="M11" s="76" t="n">
        <v>0.338194444444444</v>
      </c>
      <c r="N11" s="77" t="n">
        <v>0.64375</v>
      </c>
    </row>
    <row r="12" customFormat="false" ht="23.25" hidden="false" customHeight="true" outlineLevel="0" collapsed="false">
      <c r="A12" s="80" t="s">
        <v>69</v>
      </c>
      <c r="B12" s="81" t="s">
        <v>69</v>
      </c>
      <c r="C12" s="82" t="s">
        <v>69</v>
      </c>
      <c r="D12" s="81" t="s">
        <v>69</v>
      </c>
      <c r="E12" s="82" t="s">
        <v>69</v>
      </c>
      <c r="F12" s="81" t="s">
        <v>69</v>
      </c>
      <c r="G12" s="83" t="s">
        <v>82</v>
      </c>
      <c r="H12" s="84"/>
      <c r="I12" s="82" t="s">
        <v>69</v>
      </c>
      <c r="J12" s="81" t="s">
        <v>69</v>
      </c>
      <c r="K12" s="83" t="s">
        <v>83</v>
      </c>
      <c r="L12" s="95" t="s">
        <v>84</v>
      </c>
      <c r="M12" s="83" t="s">
        <v>85</v>
      </c>
      <c r="N12" s="98" t="s">
        <v>84</v>
      </c>
    </row>
    <row r="13" customFormat="false" ht="23.25" hidden="false" customHeight="true" outlineLevel="0" collapsed="false">
      <c r="A13" s="86" t="s">
        <v>72</v>
      </c>
      <c r="B13" s="86"/>
      <c r="C13" s="87" t="s">
        <v>74</v>
      </c>
      <c r="D13" s="87"/>
      <c r="E13" s="87" t="s">
        <v>74</v>
      </c>
      <c r="F13" s="87"/>
      <c r="G13" s="89" t="s">
        <v>86</v>
      </c>
      <c r="H13" s="89"/>
      <c r="I13" s="87" t="s">
        <v>72</v>
      </c>
      <c r="J13" s="87"/>
      <c r="K13" s="96" t="s">
        <v>87</v>
      </c>
      <c r="L13" s="96"/>
      <c r="M13" s="97"/>
      <c r="N13" s="97"/>
    </row>
    <row r="14" customFormat="false" ht="23.25" hidden="false" customHeight="true" outlineLevel="0" collapsed="false">
      <c r="A14" s="86" t="s">
        <v>69</v>
      </c>
      <c r="B14" s="86"/>
      <c r="C14" s="87" t="s">
        <v>69</v>
      </c>
      <c r="D14" s="87"/>
      <c r="E14" s="87" t="s">
        <v>69</v>
      </c>
      <c r="F14" s="87"/>
      <c r="G14" s="87" t="s">
        <v>69</v>
      </c>
      <c r="H14" s="87"/>
      <c r="I14" s="87" t="s">
        <v>69</v>
      </c>
      <c r="J14" s="87"/>
      <c r="K14" s="87" t="s">
        <v>69</v>
      </c>
      <c r="L14" s="87"/>
      <c r="M14" s="87" t="s">
        <v>69</v>
      </c>
      <c r="N14" s="87"/>
    </row>
    <row r="15" customFormat="false" ht="23.25" hidden="false" customHeight="true" outlineLevel="0" collapsed="false">
      <c r="A15" s="91" t="s">
        <v>69</v>
      </c>
      <c r="B15" s="92" t="n">
        <v>0</v>
      </c>
      <c r="C15" s="93" t="s">
        <v>69</v>
      </c>
      <c r="D15" s="92" t="n">
        <v>0.333333333333333</v>
      </c>
      <c r="E15" s="93" t="s">
        <v>69</v>
      </c>
      <c r="F15" s="92" t="n">
        <v>0.333333333333333</v>
      </c>
      <c r="G15" s="93" t="s">
        <v>69</v>
      </c>
      <c r="H15" s="92" t="n">
        <v>0.408333333333333</v>
      </c>
      <c r="I15" s="93" t="s">
        <v>69</v>
      </c>
      <c r="J15" s="92" t="n">
        <v>0</v>
      </c>
      <c r="K15" s="93" t="s">
        <v>69</v>
      </c>
      <c r="L15" s="92" t="n">
        <v>0.305555555555555</v>
      </c>
      <c r="M15" s="93" t="s">
        <v>69</v>
      </c>
      <c r="N15" s="92" t="n">
        <v>0.305555555555555</v>
      </c>
    </row>
    <row r="16" customFormat="false" ht="23.25" hidden="false" customHeight="true" outlineLevel="0" collapsed="false">
      <c r="A16" s="76" t="n">
        <v>0.338194444444444</v>
      </c>
      <c r="B16" s="77" t="n">
        <v>0.64375</v>
      </c>
      <c r="C16" s="76" t="n">
        <v>0.276388888888889</v>
      </c>
      <c r="D16" s="77" t="n">
        <v>0.56875</v>
      </c>
      <c r="E16" s="94"/>
      <c r="F16" s="94"/>
      <c r="G16" s="76" t="n">
        <v>0.215972222222222</v>
      </c>
      <c r="H16" s="77" t="n">
        <v>0.598611111111111</v>
      </c>
      <c r="I16" s="76" t="n">
        <v>0.338194444444444</v>
      </c>
      <c r="J16" s="77" t="n">
        <v>0.64375</v>
      </c>
      <c r="K16" s="76" t="n">
        <v>0.325694444444444</v>
      </c>
      <c r="L16" s="77" t="n">
        <v>0.734027777777778</v>
      </c>
      <c r="M16" s="75" t="s">
        <v>69</v>
      </c>
      <c r="N16" s="74" t="s">
        <v>69</v>
      </c>
    </row>
    <row r="17" customFormat="false" ht="23.25" hidden="false" customHeight="true" outlineLevel="0" collapsed="false">
      <c r="A17" s="83" t="s">
        <v>90</v>
      </c>
      <c r="B17" s="98" t="s">
        <v>84</v>
      </c>
      <c r="C17" s="83" t="s">
        <v>78</v>
      </c>
      <c r="D17" s="95" t="s">
        <v>79</v>
      </c>
      <c r="E17" s="94"/>
      <c r="F17" s="94"/>
      <c r="G17" s="83" t="s">
        <v>77</v>
      </c>
      <c r="H17" s="84"/>
      <c r="I17" s="83" t="s">
        <v>83</v>
      </c>
      <c r="J17" s="95" t="s">
        <v>84</v>
      </c>
      <c r="K17" s="83" t="s">
        <v>82</v>
      </c>
      <c r="L17" s="84"/>
      <c r="M17" s="82" t="s">
        <v>69</v>
      </c>
      <c r="N17" s="81" t="s">
        <v>69</v>
      </c>
    </row>
    <row r="18" customFormat="false" ht="23.25" hidden="false" customHeight="true" outlineLevel="0" collapsed="false">
      <c r="A18" s="89" t="s">
        <v>91</v>
      </c>
      <c r="B18" s="89"/>
      <c r="C18" s="97"/>
      <c r="D18" s="97"/>
      <c r="E18" s="87" t="s">
        <v>72</v>
      </c>
      <c r="F18" s="87"/>
      <c r="G18" s="96" t="s">
        <v>81</v>
      </c>
      <c r="H18" s="96"/>
      <c r="I18" s="96" t="s">
        <v>87</v>
      </c>
      <c r="J18" s="96"/>
      <c r="K18" s="89" t="s">
        <v>86</v>
      </c>
      <c r="L18" s="89"/>
      <c r="M18" s="87" t="s">
        <v>72</v>
      </c>
      <c r="N18" s="87"/>
    </row>
    <row r="19" customFormat="false" ht="23.25" hidden="false" customHeight="true" outlineLevel="0" collapsed="false">
      <c r="A19" s="86" t="s">
        <v>69</v>
      </c>
      <c r="B19" s="86"/>
      <c r="C19" s="90"/>
      <c r="D19" s="90"/>
      <c r="E19" s="86" t="s">
        <v>69</v>
      </c>
      <c r="F19" s="86"/>
      <c r="G19" s="87" t="s">
        <v>69</v>
      </c>
      <c r="H19" s="87"/>
      <c r="I19" s="87" t="s">
        <v>69</v>
      </c>
      <c r="J19" s="87"/>
      <c r="K19" s="87" t="s">
        <v>69</v>
      </c>
      <c r="L19" s="87"/>
      <c r="M19" s="87" t="s">
        <v>69</v>
      </c>
      <c r="N19" s="87"/>
    </row>
    <row r="20" customFormat="false" ht="23.25" hidden="false" customHeight="true" outlineLevel="0" collapsed="false">
      <c r="A20" s="91" t="s">
        <v>69</v>
      </c>
      <c r="B20" s="92" t="n">
        <v>0.305555555555555</v>
      </c>
      <c r="C20" s="93" t="s">
        <v>69</v>
      </c>
      <c r="D20" s="92" t="n">
        <v>0.292361111111111</v>
      </c>
      <c r="E20" s="93" t="s">
        <v>69</v>
      </c>
      <c r="F20" s="92" t="n">
        <v>0</v>
      </c>
      <c r="G20" s="93" t="s">
        <v>69</v>
      </c>
      <c r="H20" s="92" t="n">
        <v>0.382638888888889</v>
      </c>
      <c r="I20" s="93" t="s">
        <v>69</v>
      </c>
      <c r="J20" s="92" t="n">
        <v>0.305555555555555</v>
      </c>
      <c r="K20" s="93" t="s">
        <v>69</v>
      </c>
      <c r="L20" s="92" t="n">
        <v>0.408333333333333</v>
      </c>
      <c r="M20" s="93" t="s">
        <v>69</v>
      </c>
      <c r="N20" s="92" t="n">
        <v>0</v>
      </c>
    </row>
    <row r="21" customFormat="false" ht="23.25" hidden="false" customHeight="true" outlineLevel="0" collapsed="false">
      <c r="A21" s="73" t="s">
        <v>69</v>
      </c>
      <c r="B21" s="74" t="s">
        <v>69</v>
      </c>
      <c r="C21" s="75" t="s">
        <v>69</v>
      </c>
      <c r="D21" s="74" t="s">
        <v>69</v>
      </c>
      <c r="E21" s="75" t="s">
        <v>69</v>
      </c>
      <c r="F21" s="74" t="s">
        <v>69</v>
      </c>
      <c r="G21" s="76" t="n">
        <v>0.572916666666667</v>
      </c>
      <c r="H21" s="77" t="n">
        <v>0.915277777777778</v>
      </c>
      <c r="I21" s="78" t="n">
        <v>0.583333333333333</v>
      </c>
      <c r="J21" s="79" t="n">
        <v>0.916666666666667</v>
      </c>
      <c r="K21" s="78" t="n">
        <v>0.583333333333333</v>
      </c>
      <c r="L21" s="78" t="n">
        <v>0.916666666666667</v>
      </c>
      <c r="M21" s="76" t="n">
        <v>0.811805555555556</v>
      </c>
      <c r="N21" s="77" t="n">
        <v>1.06805555555556</v>
      </c>
    </row>
    <row r="22" customFormat="false" ht="23.25" hidden="false" customHeight="true" outlineLevel="0" collapsed="false">
      <c r="A22" s="80" t="s">
        <v>69</v>
      </c>
      <c r="B22" s="85" t="s">
        <v>69</v>
      </c>
      <c r="C22" s="82" t="s">
        <v>69</v>
      </c>
      <c r="D22" s="81" t="s">
        <v>69</v>
      </c>
      <c r="E22" s="82" t="s">
        <v>69</v>
      </c>
      <c r="F22" s="81" t="s">
        <v>69</v>
      </c>
      <c r="G22" s="83" t="s">
        <v>100</v>
      </c>
      <c r="H22" s="84"/>
      <c r="I22" s="82" t="s">
        <v>69</v>
      </c>
      <c r="J22" s="85" t="s">
        <v>69</v>
      </c>
      <c r="K22" s="82"/>
      <c r="L22" s="100"/>
      <c r="M22" s="83" t="s">
        <v>93</v>
      </c>
      <c r="N22" s="98" t="s">
        <v>114</v>
      </c>
    </row>
    <row r="23" customFormat="false" ht="23.25" hidden="false" customHeight="true" outlineLevel="0" collapsed="false">
      <c r="A23" s="86" t="s">
        <v>72</v>
      </c>
      <c r="B23" s="86"/>
      <c r="C23" s="87" t="s">
        <v>72</v>
      </c>
      <c r="D23" s="87"/>
      <c r="E23" s="87" t="s">
        <v>23</v>
      </c>
      <c r="F23" s="87"/>
      <c r="G23" s="96" t="s">
        <v>102</v>
      </c>
      <c r="H23" s="96"/>
      <c r="I23" s="87" t="s">
        <v>74</v>
      </c>
      <c r="J23" s="87"/>
      <c r="K23" s="101" t="s">
        <v>74</v>
      </c>
      <c r="L23" s="101"/>
      <c r="M23" s="96" t="s">
        <v>119</v>
      </c>
      <c r="N23" s="96"/>
    </row>
    <row r="24" customFormat="false" ht="23.25" hidden="false" customHeight="true" outlineLevel="0" collapsed="false">
      <c r="A24" s="86" t="s">
        <v>69</v>
      </c>
      <c r="B24" s="86"/>
      <c r="C24" s="87" t="s">
        <v>69</v>
      </c>
      <c r="D24" s="87"/>
      <c r="E24" s="87" t="s">
        <v>69</v>
      </c>
      <c r="F24" s="87"/>
      <c r="G24" s="87" t="s">
        <v>69</v>
      </c>
      <c r="H24" s="87"/>
      <c r="I24" s="87" t="s">
        <v>69</v>
      </c>
      <c r="J24" s="87"/>
      <c r="K24" s="101" t="s">
        <v>69</v>
      </c>
      <c r="L24" s="101"/>
      <c r="M24" s="86" t="s">
        <v>69</v>
      </c>
      <c r="N24" s="86"/>
    </row>
    <row r="25" customFormat="false" ht="23.25" hidden="false" customHeight="true" outlineLevel="0" collapsed="false">
      <c r="A25" s="91" t="s">
        <v>69</v>
      </c>
      <c r="B25" s="92" t="n">
        <v>0</v>
      </c>
      <c r="C25" s="93" t="s">
        <v>69</v>
      </c>
      <c r="D25" s="92" t="n">
        <v>0</v>
      </c>
      <c r="E25" s="93" t="s">
        <v>69</v>
      </c>
      <c r="F25" s="92" t="n">
        <v>0.333333333333333</v>
      </c>
      <c r="G25" s="93" t="s">
        <v>69</v>
      </c>
      <c r="H25" s="92" t="n">
        <v>0.342361111111111</v>
      </c>
      <c r="I25" s="93" t="s">
        <v>69</v>
      </c>
      <c r="J25" s="92" t="n">
        <v>0.333333333333333</v>
      </c>
      <c r="K25" s="93" t="s">
        <v>69</v>
      </c>
      <c r="L25" s="102" t="n">
        <v>0.333333333333333</v>
      </c>
      <c r="M25" s="91" t="s">
        <v>69</v>
      </c>
      <c r="N25" s="92" t="n">
        <v>0.25625</v>
      </c>
    </row>
    <row r="26" customFormat="false" ht="23.25" hidden="false" customHeight="true" outlineLevel="0" collapsed="false">
      <c r="A26" s="76" t="n">
        <v>0.580555555555556</v>
      </c>
      <c r="B26" s="77" t="n">
        <v>0.984722222222222</v>
      </c>
      <c r="C26" s="78" t="n">
        <v>0.583333333333333</v>
      </c>
      <c r="D26" s="79" t="n">
        <v>0.916666666666667</v>
      </c>
      <c r="E26" s="75" t="s">
        <v>69</v>
      </c>
      <c r="F26" s="74" t="s">
        <v>69</v>
      </c>
      <c r="G26" s="76" t="n">
        <v>0.629861111111111</v>
      </c>
      <c r="H26" s="77" t="n">
        <v>0.879861111111111</v>
      </c>
      <c r="I26" s="76" t="n">
        <v>0.543055555555555</v>
      </c>
      <c r="J26" s="77" t="n">
        <v>0.8375</v>
      </c>
      <c r="K26" s="76" t="n">
        <v>0.572916666666667</v>
      </c>
      <c r="L26" s="77" t="n">
        <v>0.915277777777778</v>
      </c>
      <c r="M26" s="75" t="s">
        <v>69</v>
      </c>
      <c r="N26" s="74" t="s">
        <v>69</v>
      </c>
    </row>
    <row r="27" customFormat="false" ht="23.25" hidden="false" customHeight="true" outlineLevel="0" collapsed="false">
      <c r="A27" s="83" t="s">
        <v>95</v>
      </c>
      <c r="B27" s="84"/>
      <c r="C27" s="82" t="s">
        <v>69</v>
      </c>
      <c r="D27" s="85" t="s">
        <v>69</v>
      </c>
      <c r="E27" s="82" t="s">
        <v>69</v>
      </c>
      <c r="F27" s="85" t="s">
        <v>69</v>
      </c>
      <c r="G27" s="83" t="s">
        <v>96</v>
      </c>
      <c r="H27" s="95" t="s">
        <v>97</v>
      </c>
      <c r="I27" s="83" t="s">
        <v>98</v>
      </c>
      <c r="J27" s="95" t="s">
        <v>120</v>
      </c>
      <c r="K27" s="83" t="s">
        <v>100</v>
      </c>
      <c r="L27" s="84"/>
      <c r="M27" s="82" t="s">
        <v>69</v>
      </c>
      <c r="N27" s="81" t="s">
        <v>69</v>
      </c>
    </row>
    <row r="28" customFormat="false" ht="23.25" hidden="false" customHeight="true" outlineLevel="0" collapsed="false">
      <c r="A28" s="96" t="s">
        <v>101</v>
      </c>
      <c r="B28" s="96"/>
      <c r="C28" s="87" t="s">
        <v>74</v>
      </c>
      <c r="D28" s="87"/>
      <c r="E28" s="87" t="s">
        <v>72</v>
      </c>
      <c r="F28" s="87"/>
      <c r="G28" s="97"/>
      <c r="H28" s="97"/>
      <c r="I28" s="97"/>
      <c r="J28" s="97"/>
      <c r="K28" s="96" t="s">
        <v>102</v>
      </c>
      <c r="L28" s="96"/>
      <c r="M28" s="87" t="s">
        <v>72</v>
      </c>
      <c r="N28" s="87"/>
    </row>
    <row r="29" customFormat="false" ht="23.25" hidden="false" customHeight="true" outlineLevel="0" collapsed="false">
      <c r="A29" s="86" t="s">
        <v>69</v>
      </c>
      <c r="B29" s="86"/>
      <c r="C29" s="87" t="s">
        <v>69</v>
      </c>
      <c r="D29" s="87"/>
      <c r="E29" s="87" t="s">
        <v>69</v>
      </c>
      <c r="F29" s="87"/>
      <c r="G29" s="87" t="s">
        <v>69</v>
      </c>
      <c r="H29" s="87"/>
      <c r="I29" s="90"/>
      <c r="J29" s="90"/>
      <c r="K29" s="87" t="s">
        <v>69</v>
      </c>
      <c r="L29" s="87"/>
      <c r="M29" s="87" t="s">
        <v>69</v>
      </c>
      <c r="N29" s="87"/>
    </row>
    <row r="30" customFormat="false" ht="23.25" hidden="false" customHeight="true" outlineLevel="0" collapsed="false">
      <c r="A30" s="91" t="s">
        <v>69</v>
      </c>
      <c r="B30" s="92" t="n">
        <v>0.3625</v>
      </c>
      <c r="C30" s="93" t="s">
        <v>69</v>
      </c>
      <c r="D30" s="92" t="n">
        <v>0.333333333333333</v>
      </c>
      <c r="E30" s="93" t="s">
        <v>69</v>
      </c>
      <c r="F30" s="92" t="n">
        <v>0</v>
      </c>
      <c r="G30" s="93" t="s">
        <v>69</v>
      </c>
      <c r="H30" s="92" t="n">
        <v>0.25</v>
      </c>
      <c r="I30" s="93" t="s">
        <v>69</v>
      </c>
      <c r="J30" s="92" t="n">
        <v>0.294444444444444</v>
      </c>
      <c r="K30" s="93" t="s">
        <v>69</v>
      </c>
      <c r="L30" s="92" t="n">
        <v>0.342361111111111</v>
      </c>
      <c r="M30" s="93" t="s">
        <v>69</v>
      </c>
      <c r="N30" s="92" t="n">
        <v>0</v>
      </c>
    </row>
    <row r="31" customFormat="false" ht="23.25" hidden="false" customHeight="true" outlineLevel="0" collapsed="false">
      <c r="A31" s="73" t="s">
        <v>69</v>
      </c>
      <c r="B31" s="74" t="s">
        <v>69</v>
      </c>
      <c r="C31" s="76" t="n">
        <v>0.629861111111111</v>
      </c>
      <c r="D31" s="77" t="n">
        <v>0.879861111111111</v>
      </c>
      <c r="E31" s="78" t="n">
        <v>0.583333333333333</v>
      </c>
      <c r="F31" s="79" t="n">
        <v>0.916666666666667</v>
      </c>
      <c r="G31" s="94"/>
      <c r="H31" s="94"/>
      <c r="I31" s="76" t="n">
        <v>0.325694444444444</v>
      </c>
      <c r="J31" s="77" t="n">
        <v>0.734027777777778</v>
      </c>
      <c r="K31" s="76" t="n">
        <v>0.543055555555555</v>
      </c>
      <c r="L31" s="77" t="n">
        <v>0.8375</v>
      </c>
      <c r="M31" s="76" t="n">
        <v>0.543055555555555</v>
      </c>
      <c r="N31" s="77" t="n">
        <v>0.8375</v>
      </c>
    </row>
    <row r="32" customFormat="false" ht="23.25" hidden="false" customHeight="true" outlineLevel="0" collapsed="false">
      <c r="A32" s="80" t="s">
        <v>69</v>
      </c>
      <c r="B32" s="81" t="s">
        <v>69</v>
      </c>
      <c r="C32" s="83" t="s">
        <v>96</v>
      </c>
      <c r="D32" s="95" t="s">
        <v>97</v>
      </c>
      <c r="E32" s="82"/>
      <c r="F32" s="81" t="s">
        <v>69</v>
      </c>
      <c r="G32" s="94"/>
      <c r="H32" s="94"/>
      <c r="I32" s="83" t="s">
        <v>82</v>
      </c>
      <c r="J32" s="84"/>
      <c r="K32" s="83" t="s">
        <v>98</v>
      </c>
      <c r="L32" s="95" t="s">
        <v>120</v>
      </c>
      <c r="M32" s="83" t="s">
        <v>103</v>
      </c>
      <c r="N32" s="95" t="s">
        <v>120</v>
      </c>
    </row>
    <row r="33" customFormat="false" ht="23.25" hidden="false" customHeight="true" outlineLevel="0" collapsed="false">
      <c r="A33" s="86" t="s">
        <v>72</v>
      </c>
      <c r="B33" s="86"/>
      <c r="C33" s="97"/>
      <c r="D33" s="97"/>
      <c r="E33" s="87" t="s">
        <v>74</v>
      </c>
      <c r="F33" s="87"/>
      <c r="G33" s="87" t="s">
        <v>72</v>
      </c>
      <c r="H33" s="87"/>
      <c r="I33" s="89" t="s">
        <v>86</v>
      </c>
      <c r="J33" s="89"/>
      <c r="K33" s="97"/>
      <c r="L33" s="97"/>
      <c r="M33" s="97"/>
      <c r="N33" s="97"/>
    </row>
    <row r="34" customFormat="false" ht="23.25" hidden="false" customHeight="true" outlineLevel="0" collapsed="false">
      <c r="A34" s="86" t="s">
        <v>69</v>
      </c>
      <c r="B34" s="86"/>
      <c r="C34" s="87" t="s">
        <v>69</v>
      </c>
      <c r="D34" s="87"/>
      <c r="E34" s="87" t="s">
        <v>69</v>
      </c>
      <c r="F34" s="87"/>
      <c r="G34" s="94"/>
      <c r="H34" s="94"/>
      <c r="I34" s="86" t="s">
        <v>69</v>
      </c>
      <c r="J34" s="86"/>
      <c r="K34" s="87" t="s">
        <v>69</v>
      </c>
      <c r="L34" s="87"/>
      <c r="M34" s="87" t="s">
        <v>69</v>
      </c>
      <c r="N34" s="87"/>
    </row>
    <row r="35" customFormat="false" ht="23.25" hidden="false" customHeight="true" outlineLevel="0" collapsed="false">
      <c r="A35" s="91" t="s">
        <v>69</v>
      </c>
      <c r="B35" s="92" t="n">
        <v>0</v>
      </c>
      <c r="C35" s="93" t="s">
        <v>69</v>
      </c>
      <c r="D35" s="92" t="n">
        <v>0.25</v>
      </c>
      <c r="E35" s="93" t="s">
        <v>69</v>
      </c>
      <c r="F35" s="92" t="n">
        <v>0.333333333333333</v>
      </c>
      <c r="G35" s="93" t="s">
        <v>69</v>
      </c>
      <c r="H35" s="92" t="n">
        <v>0</v>
      </c>
      <c r="I35" s="93" t="s">
        <v>69</v>
      </c>
      <c r="J35" s="92" t="n">
        <v>0.408333333333333</v>
      </c>
      <c r="K35" s="93" t="s">
        <v>69</v>
      </c>
      <c r="L35" s="92" t="n">
        <v>0.294444444444444</v>
      </c>
      <c r="M35" s="93" t="s">
        <v>69</v>
      </c>
      <c r="N35" s="92" t="n">
        <v>0.294444444444444</v>
      </c>
    </row>
    <row r="36" customFormat="false" ht="23.25" hidden="false" customHeight="true" outlineLevel="0" collapsed="false">
      <c r="A36" s="76" t="n">
        <v>0.580555555555556</v>
      </c>
      <c r="B36" s="77" t="n">
        <v>0.924305555555556</v>
      </c>
      <c r="C36" s="76" t="n">
        <v>0.543055555555555</v>
      </c>
      <c r="D36" s="77" t="n">
        <v>0.8375</v>
      </c>
      <c r="E36" s="94"/>
      <c r="F36" s="94"/>
      <c r="G36" s="103" t="n">
        <v>0.583333333333333</v>
      </c>
      <c r="H36" s="79" t="n">
        <v>0.916666666666667</v>
      </c>
      <c r="I36" s="76" t="n">
        <v>0.629861111111111</v>
      </c>
      <c r="J36" s="77" t="n">
        <v>0.879861111111111</v>
      </c>
      <c r="K36" s="75" t="s">
        <v>69</v>
      </c>
      <c r="L36" s="74" t="s">
        <v>69</v>
      </c>
      <c r="M36" s="75" t="s">
        <v>69</v>
      </c>
      <c r="N36" s="74" t="s">
        <v>69</v>
      </c>
    </row>
    <row r="37" customFormat="false" ht="23.25" hidden="false" customHeight="true" outlineLevel="0" collapsed="false">
      <c r="A37" s="83" t="s">
        <v>104</v>
      </c>
      <c r="B37" s="104" t="s">
        <v>105</v>
      </c>
      <c r="C37" s="83" t="s">
        <v>98</v>
      </c>
      <c r="D37" s="95" t="s">
        <v>120</v>
      </c>
      <c r="E37" s="94"/>
      <c r="F37" s="94"/>
      <c r="G37" s="80" t="s">
        <v>69</v>
      </c>
      <c r="H37" s="85" t="s">
        <v>69</v>
      </c>
      <c r="I37" s="83" t="s">
        <v>96</v>
      </c>
      <c r="J37" s="95" t="s">
        <v>97</v>
      </c>
      <c r="K37" s="82" t="s">
        <v>69</v>
      </c>
      <c r="L37" s="85" t="s">
        <v>69</v>
      </c>
      <c r="M37" s="82" t="s">
        <v>69</v>
      </c>
      <c r="N37" s="81" t="s">
        <v>69</v>
      </c>
    </row>
    <row r="38" customFormat="false" ht="23.25" hidden="false" customHeight="true" outlineLevel="0" collapsed="false">
      <c r="A38" s="105" t="s">
        <v>106</v>
      </c>
      <c r="B38" s="105"/>
      <c r="C38" s="97"/>
      <c r="D38" s="97"/>
      <c r="E38" s="87" t="s">
        <v>72</v>
      </c>
      <c r="F38" s="87"/>
      <c r="G38" s="87" t="s">
        <v>74</v>
      </c>
      <c r="H38" s="87"/>
      <c r="I38" s="97"/>
      <c r="J38" s="97"/>
      <c r="K38" s="87" t="s">
        <v>23</v>
      </c>
      <c r="L38" s="87"/>
      <c r="M38" s="87" t="s">
        <v>72</v>
      </c>
      <c r="N38" s="87"/>
    </row>
    <row r="39" customFormat="false" ht="23.25" hidden="false" customHeight="true" outlineLevel="0" collapsed="false">
      <c r="A39" s="86" t="s">
        <v>69</v>
      </c>
      <c r="B39" s="86"/>
      <c r="C39" s="90"/>
      <c r="D39" s="90"/>
      <c r="E39" s="86" t="s">
        <v>69</v>
      </c>
      <c r="F39" s="86"/>
      <c r="G39" s="87" t="s">
        <v>69</v>
      </c>
      <c r="H39" s="87"/>
      <c r="I39" s="87" t="s">
        <v>69</v>
      </c>
      <c r="J39" s="87"/>
      <c r="K39" s="87" t="s">
        <v>69</v>
      </c>
      <c r="L39" s="87"/>
      <c r="M39" s="87" t="s">
        <v>69</v>
      </c>
      <c r="N39" s="87"/>
    </row>
    <row r="40" customFormat="false" ht="23.25" hidden="false" customHeight="true" outlineLevel="0" collapsed="false">
      <c r="A40" s="91" t="s">
        <v>69</v>
      </c>
      <c r="B40" s="92" t="n">
        <v>0.34375</v>
      </c>
      <c r="C40" s="93" t="s">
        <v>69</v>
      </c>
      <c r="D40" s="92" t="n">
        <v>0.294444444444444</v>
      </c>
      <c r="E40" s="93" t="s">
        <v>69</v>
      </c>
      <c r="F40" s="92" t="n">
        <v>0</v>
      </c>
      <c r="G40" s="93" t="s">
        <v>69</v>
      </c>
      <c r="H40" s="92" t="n">
        <v>0.333333333333333</v>
      </c>
      <c r="I40" s="93" t="s">
        <v>69</v>
      </c>
      <c r="J40" s="92" t="n">
        <v>0.25</v>
      </c>
      <c r="K40" s="93" t="s">
        <v>69</v>
      </c>
      <c r="L40" s="92" t="n">
        <v>0.333333333333333</v>
      </c>
      <c r="M40" s="93" t="s">
        <v>69</v>
      </c>
      <c r="N40" s="92" t="n">
        <v>0</v>
      </c>
    </row>
    <row r="41" customFormat="false" ht="23.25" hidden="false" customHeight="true" outlineLevel="0" collapsed="false">
      <c r="A41" s="73" t="s">
        <v>69</v>
      </c>
      <c r="B41" s="74" t="s">
        <v>69</v>
      </c>
      <c r="C41" s="94"/>
      <c r="D41" s="94"/>
      <c r="E41" s="76" t="n">
        <v>0.572916666666667</v>
      </c>
      <c r="F41" s="77" t="n">
        <v>0.915277777777778</v>
      </c>
      <c r="G41" s="76" t="n">
        <v>0.738194444444444</v>
      </c>
      <c r="H41" s="77" t="n">
        <v>0.988194444444444</v>
      </c>
      <c r="I41" s="76" t="n">
        <v>0.572916666666667</v>
      </c>
      <c r="J41" s="77" t="n">
        <v>0.915277777777778</v>
      </c>
      <c r="K41" s="76" t="n">
        <v>0.816666666666667</v>
      </c>
      <c r="L41" s="77" t="n">
        <v>1.06666666666667</v>
      </c>
      <c r="M41" s="76" t="n">
        <v>0.604166666666667</v>
      </c>
      <c r="N41" s="77" t="n">
        <v>0.984722222222222</v>
      </c>
    </row>
    <row r="42" customFormat="false" ht="23.25" hidden="false" customHeight="true" outlineLevel="0" collapsed="false">
      <c r="A42" s="80" t="s">
        <v>69</v>
      </c>
      <c r="B42" s="81" t="s">
        <v>69</v>
      </c>
      <c r="C42" s="94"/>
      <c r="D42" s="94"/>
      <c r="E42" s="83" t="s">
        <v>100</v>
      </c>
      <c r="F42" s="84"/>
      <c r="G42" s="83" t="s">
        <v>107</v>
      </c>
      <c r="H42" s="95" t="s">
        <v>108</v>
      </c>
      <c r="I42" s="83" t="s">
        <v>100</v>
      </c>
      <c r="J42" s="84"/>
      <c r="K42" s="83" t="s">
        <v>109</v>
      </c>
      <c r="L42" s="95" t="s">
        <v>121</v>
      </c>
      <c r="M42" s="83" t="s">
        <v>111</v>
      </c>
      <c r="N42" s="84"/>
    </row>
    <row r="43" customFormat="false" ht="23.25" hidden="false" customHeight="true" outlineLevel="0" collapsed="false">
      <c r="A43" s="86" t="s">
        <v>72</v>
      </c>
      <c r="B43" s="86"/>
      <c r="C43" s="87" t="s">
        <v>72</v>
      </c>
      <c r="D43" s="87"/>
      <c r="E43" s="96" t="s">
        <v>102</v>
      </c>
      <c r="F43" s="96"/>
      <c r="G43" s="97"/>
      <c r="H43" s="97"/>
      <c r="I43" s="96" t="s">
        <v>102</v>
      </c>
      <c r="J43" s="96"/>
      <c r="K43" s="97"/>
      <c r="L43" s="97"/>
      <c r="M43" s="96" t="s">
        <v>122</v>
      </c>
      <c r="N43" s="96"/>
    </row>
    <row r="44" customFormat="false" ht="23.25" hidden="false" customHeight="true" outlineLevel="0" collapsed="false">
      <c r="A44" s="86" t="s">
        <v>69</v>
      </c>
      <c r="B44" s="86"/>
      <c r="C44" s="87" t="s">
        <v>69</v>
      </c>
      <c r="D44" s="87"/>
      <c r="E44" s="87" t="s">
        <v>69</v>
      </c>
      <c r="F44" s="87"/>
      <c r="G44" s="87" t="s">
        <v>69</v>
      </c>
      <c r="H44" s="87"/>
      <c r="I44" s="87" t="s">
        <v>69</v>
      </c>
      <c r="J44" s="87"/>
      <c r="K44" s="90"/>
      <c r="L44" s="90"/>
      <c r="M44" s="86" t="s">
        <v>69</v>
      </c>
      <c r="N44" s="86"/>
    </row>
    <row r="45" customFormat="false" ht="23.25" hidden="false" customHeight="true" outlineLevel="0" collapsed="false">
      <c r="A45" s="91" t="s">
        <v>69</v>
      </c>
      <c r="B45" s="92" t="n">
        <v>0</v>
      </c>
      <c r="C45" s="93" t="s">
        <v>69</v>
      </c>
      <c r="D45" s="92" t="n">
        <v>0</v>
      </c>
      <c r="E45" s="93" t="s">
        <v>69</v>
      </c>
      <c r="F45" s="92" t="n">
        <v>0.342361111111111</v>
      </c>
      <c r="G45" s="93" t="s">
        <v>69</v>
      </c>
      <c r="H45" s="92" t="n">
        <v>0.25</v>
      </c>
      <c r="I45" s="93" t="s">
        <v>69</v>
      </c>
      <c r="J45" s="92" t="n">
        <v>0.342361111111111</v>
      </c>
      <c r="K45" s="93" t="s">
        <v>69</v>
      </c>
      <c r="L45" s="102" t="n">
        <v>0.25</v>
      </c>
      <c r="M45" s="91" t="s">
        <v>69</v>
      </c>
      <c r="N45" s="92" t="n">
        <v>0.338888888888889</v>
      </c>
    </row>
    <row r="46" customFormat="false" ht="23.25" hidden="false" customHeight="true" outlineLevel="0" collapsed="false">
      <c r="A46" s="76" t="n">
        <v>0.543055555555555</v>
      </c>
      <c r="B46" s="77" t="n">
        <v>0.8375</v>
      </c>
      <c r="C46" s="94"/>
      <c r="D46" s="94"/>
      <c r="E46" s="76" t="n">
        <v>0.276388888888889</v>
      </c>
      <c r="F46" s="77" t="n">
        <v>0.56875</v>
      </c>
      <c r="G46" s="76" t="n">
        <v>0.276388888888889</v>
      </c>
      <c r="H46" s="77" t="n">
        <v>0.56875</v>
      </c>
      <c r="I46" s="76" t="n">
        <v>0.215972222222222</v>
      </c>
      <c r="J46" s="77" t="n">
        <v>0.598611111111111</v>
      </c>
      <c r="K46" s="78" t="n">
        <v>0.208333333333333</v>
      </c>
      <c r="L46" s="79" t="n">
        <v>0.541666666666667</v>
      </c>
      <c r="M46" s="75" t="s">
        <v>69</v>
      </c>
      <c r="N46" s="74" t="s">
        <v>69</v>
      </c>
    </row>
    <row r="47" customFormat="false" ht="23.25" hidden="false" customHeight="true" outlineLevel="0" collapsed="false">
      <c r="A47" s="83" t="s">
        <v>113</v>
      </c>
      <c r="B47" s="95" t="s">
        <v>120</v>
      </c>
      <c r="C47" s="94"/>
      <c r="D47" s="94"/>
      <c r="E47" s="83" t="s">
        <v>78</v>
      </c>
      <c r="F47" s="95" t="s">
        <v>79</v>
      </c>
      <c r="G47" s="83" t="s">
        <v>78</v>
      </c>
      <c r="H47" s="95" t="s">
        <v>79</v>
      </c>
      <c r="I47" s="83" t="s">
        <v>77</v>
      </c>
      <c r="J47" s="84"/>
      <c r="K47" s="82" t="s">
        <v>69</v>
      </c>
      <c r="L47" s="85" t="s">
        <v>69</v>
      </c>
      <c r="M47" s="82" t="s">
        <v>69</v>
      </c>
      <c r="N47" s="81" t="s">
        <v>69</v>
      </c>
    </row>
    <row r="48" customFormat="false" ht="23.25" hidden="false" customHeight="true" outlineLevel="0" collapsed="false">
      <c r="A48" s="97"/>
      <c r="B48" s="97"/>
      <c r="C48" s="87" t="s">
        <v>72</v>
      </c>
      <c r="D48" s="87"/>
      <c r="E48" s="97"/>
      <c r="F48" s="97"/>
      <c r="G48" s="97"/>
      <c r="H48" s="97"/>
      <c r="I48" s="96" t="s">
        <v>81</v>
      </c>
      <c r="J48" s="96"/>
      <c r="K48" s="87" t="s">
        <v>74</v>
      </c>
      <c r="L48" s="87"/>
      <c r="M48" s="87" t="s">
        <v>72</v>
      </c>
      <c r="N48" s="87"/>
    </row>
    <row r="49" customFormat="false" ht="23.25" hidden="false" customHeight="true" outlineLevel="0" collapsed="false">
      <c r="A49" s="90"/>
      <c r="B49" s="90"/>
      <c r="C49" s="87" t="s">
        <v>69</v>
      </c>
      <c r="D49" s="87"/>
      <c r="E49" s="90"/>
      <c r="F49" s="90"/>
      <c r="G49" s="90"/>
      <c r="H49" s="90"/>
      <c r="I49" s="87" t="s">
        <v>69</v>
      </c>
      <c r="J49" s="87"/>
      <c r="K49" s="87" t="s">
        <v>69</v>
      </c>
      <c r="L49" s="87"/>
      <c r="M49" s="87" t="s">
        <v>69</v>
      </c>
      <c r="N49" s="87"/>
    </row>
    <row r="50" customFormat="false" ht="23.25" hidden="false" customHeight="true" outlineLevel="0" collapsed="false">
      <c r="A50" s="91" t="s">
        <v>69</v>
      </c>
      <c r="B50" s="92" t="n">
        <v>0.294444444444444</v>
      </c>
      <c r="C50" s="93" t="s">
        <v>69</v>
      </c>
      <c r="D50" s="92" t="n">
        <v>0</v>
      </c>
      <c r="E50" s="93" t="s">
        <v>69</v>
      </c>
      <c r="F50" s="92" t="n">
        <v>0.292361111111111</v>
      </c>
      <c r="G50" s="93" t="s">
        <v>69</v>
      </c>
      <c r="H50" s="92" t="n">
        <v>0.292361111111111</v>
      </c>
      <c r="I50" s="93" t="s">
        <v>69</v>
      </c>
      <c r="J50" s="92" t="n">
        <v>0.382638888888889</v>
      </c>
      <c r="K50" s="93" t="s">
        <v>69</v>
      </c>
      <c r="L50" s="92" t="n">
        <v>0.333333333333333</v>
      </c>
      <c r="M50" s="93" t="s">
        <v>69</v>
      </c>
      <c r="N50" s="92" t="n">
        <v>0</v>
      </c>
    </row>
    <row r="51" customFormat="false" ht="23.25" hidden="false" customHeight="true" outlineLevel="0" collapsed="false">
      <c r="A51" s="73" t="s">
        <v>69</v>
      </c>
      <c r="B51" s="74" t="s">
        <v>69</v>
      </c>
      <c r="C51" s="76" t="n">
        <v>0.191666666666667</v>
      </c>
      <c r="D51" s="77" t="n">
        <v>0.513194444444444</v>
      </c>
      <c r="E51" s="76" t="n">
        <v>0.215972222222222</v>
      </c>
      <c r="F51" s="77" t="n">
        <v>0.598611111111111</v>
      </c>
      <c r="G51" s="78" t="n">
        <v>0.208333333333333</v>
      </c>
      <c r="H51" s="79" t="n">
        <v>0.541666666666667</v>
      </c>
      <c r="I51" s="76" t="n">
        <v>0.738194444444444</v>
      </c>
      <c r="J51" s="77" t="n">
        <v>0.988194444444444</v>
      </c>
      <c r="K51" s="76" t="n">
        <v>0.738194444444444</v>
      </c>
      <c r="L51" s="77" t="n">
        <v>0.988194444444444</v>
      </c>
      <c r="M51" s="75" t="s">
        <v>69</v>
      </c>
      <c r="N51" s="74" t="s">
        <v>69</v>
      </c>
    </row>
    <row r="52" customFormat="false" ht="23.25" hidden="false" customHeight="true" outlineLevel="0" collapsed="false">
      <c r="A52" s="80" t="s">
        <v>69</v>
      </c>
      <c r="B52" s="85" t="s">
        <v>69</v>
      </c>
      <c r="C52" s="83" t="s">
        <v>70</v>
      </c>
      <c r="D52" s="84"/>
      <c r="E52" s="83" t="s">
        <v>77</v>
      </c>
      <c r="F52" s="84"/>
      <c r="G52" s="82" t="s">
        <v>69</v>
      </c>
      <c r="H52" s="85" t="s">
        <v>69</v>
      </c>
      <c r="I52" s="83" t="s">
        <v>107</v>
      </c>
      <c r="J52" s="95" t="s">
        <v>108</v>
      </c>
      <c r="K52" s="83" t="s">
        <v>107</v>
      </c>
      <c r="L52" s="95" t="s">
        <v>108</v>
      </c>
      <c r="M52" s="82" t="s">
        <v>69</v>
      </c>
      <c r="N52" s="81" t="s">
        <v>69</v>
      </c>
    </row>
    <row r="53" customFormat="false" ht="23.25" hidden="false" customHeight="true" outlineLevel="0" collapsed="false">
      <c r="A53" s="86" t="s">
        <v>72</v>
      </c>
      <c r="B53" s="86"/>
      <c r="C53" s="88" t="s">
        <v>73</v>
      </c>
      <c r="D53" s="88"/>
      <c r="E53" s="96" t="s">
        <v>81</v>
      </c>
      <c r="F53" s="96"/>
      <c r="G53" s="87" t="s">
        <v>74</v>
      </c>
      <c r="H53" s="87"/>
      <c r="I53" s="97"/>
      <c r="J53" s="97"/>
      <c r="K53" s="97"/>
      <c r="L53" s="97"/>
      <c r="M53" s="87" t="s">
        <v>72</v>
      </c>
      <c r="N53" s="87"/>
    </row>
    <row r="54" customFormat="false" ht="23.25" hidden="false" customHeight="true" outlineLevel="0" collapsed="false">
      <c r="A54" s="86" t="s">
        <v>69</v>
      </c>
      <c r="B54" s="86"/>
      <c r="C54" s="90"/>
      <c r="D54" s="90"/>
      <c r="E54" s="87" t="s">
        <v>69</v>
      </c>
      <c r="F54" s="87"/>
      <c r="G54" s="87" t="s">
        <v>69</v>
      </c>
      <c r="H54" s="87"/>
      <c r="I54" s="87" t="s">
        <v>69</v>
      </c>
      <c r="J54" s="87"/>
      <c r="K54" s="87" t="s">
        <v>69</v>
      </c>
      <c r="L54" s="87"/>
      <c r="M54" s="87" t="s">
        <v>69</v>
      </c>
      <c r="N54" s="87"/>
    </row>
    <row r="55" customFormat="false" ht="23.25" hidden="false" customHeight="true" outlineLevel="0" collapsed="false">
      <c r="A55" s="91" t="s">
        <v>69</v>
      </c>
      <c r="B55" s="92" t="n">
        <v>0</v>
      </c>
      <c r="C55" s="93" t="s">
        <v>69</v>
      </c>
      <c r="D55" s="92" t="n">
        <v>0.321527777777778</v>
      </c>
      <c r="E55" s="93" t="s">
        <v>69</v>
      </c>
      <c r="F55" s="92" t="n">
        <v>0.382638888888889</v>
      </c>
      <c r="G55" s="93" t="s">
        <v>69</v>
      </c>
      <c r="H55" s="92" t="n">
        <v>0.333333333333333</v>
      </c>
      <c r="I55" s="93" t="s">
        <v>69</v>
      </c>
      <c r="J55" s="92" t="n">
        <v>0.25</v>
      </c>
      <c r="K55" s="93" t="s">
        <v>69</v>
      </c>
      <c r="L55" s="102" t="n">
        <v>0.25</v>
      </c>
      <c r="M55" s="91" t="s">
        <v>69</v>
      </c>
      <c r="N55" s="92" t="n">
        <v>0</v>
      </c>
    </row>
  </sheetData>
  <mergeCells count="153">
    <mergeCell ref="A3:B3"/>
    <mergeCell ref="C3:D3"/>
    <mergeCell ref="E3:F3"/>
    <mergeCell ref="G3:H3"/>
    <mergeCell ref="I3:J3"/>
    <mergeCell ref="K3:L3"/>
    <mergeCell ref="M3:N3"/>
    <mergeCell ref="A4:B4"/>
    <mergeCell ref="C4:D4"/>
    <mergeCell ref="E4:F4"/>
    <mergeCell ref="G4:H4"/>
    <mergeCell ref="I4:J4"/>
    <mergeCell ref="K4:L4"/>
    <mergeCell ref="M4:N4"/>
    <mergeCell ref="I5:J5"/>
    <mergeCell ref="A8:B8"/>
    <mergeCell ref="C8:D8"/>
    <mergeCell ref="E8:F8"/>
    <mergeCell ref="G8:H8"/>
    <mergeCell ref="I8:J8"/>
    <mergeCell ref="K8:L8"/>
    <mergeCell ref="M8:N8"/>
    <mergeCell ref="A9:B9"/>
    <mergeCell ref="C9:D9"/>
    <mergeCell ref="E9:F9"/>
    <mergeCell ref="I9:J9"/>
    <mergeCell ref="K9:L9"/>
    <mergeCell ref="M9:N9"/>
    <mergeCell ref="A13:B13"/>
    <mergeCell ref="C13:D13"/>
    <mergeCell ref="E13:F13"/>
    <mergeCell ref="G13:H13"/>
    <mergeCell ref="I13:J13"/>
    <mergeCell ref="K13:L13"/>
    <mergeCell ref="M13:N13"/>
    <mergeCell ref="A14:B14"/>
    <mergeCell ref="C14:D14"/>
    <mergeCell ref="E14:F14"/>
    <mergeCell ref="G14:H14"/>
    <mergeCell ref="I14:J14"/>
    <mergeCell ref="K14:L14"/>
    <mergeCell ref="M14:N14"/>
    <mergeCell ref="A18:B18"/>
    <mergeCell ref="C18:D18"/>
    <mergeCell ref="E18:F18"/>
    <mergeCell ref="G18:H18"/>
    <mergeCell ref="I18:J18"/>
    <mergeCell ref="K18:L18"/>
    <mergeCell ref="M18:N18"/>
    <mergeCell ref="A19:B19"/>
    <mergeCell ref="C19:D19"/>
    <mergeCell ref="E19:F19"/>
    <mergeCell ref="G19:H19"/>
    <mergeCell ref="I19:J19"/>
    <mergeCell ref="K19:L19"/>
    <mergeCell ref="M19:N19"/>
    <mergeCell ref="A23:B23"/>
    <mergeCell ref="C23:D23"/>
    <mergeCell ref="E23:F23"/>
    <mergeCell ref="G23:H23"/>
    <mergeCell ref="I23:J23"/>
    <mergeCell ref="K23:L23"/>
    <mergeCell ref="M23:N23"/>
    <mergeCell ref="A24:B24"/>
    <mergeCell ref="C24:D24"/>
    <mergeCell ref="E24:F24"/>
    <mergeCell ref="G24:H24"/>
    <mergeCell ref="I24:J24"/>
    <mergeCell ref="K24:L24"/>
    <mergeCell ref="M24:N24"/>
    <mergeCell ref="A28:B28"/>
    <mergeCell ref="C28:D28"/>
    <mergeCell ref="E28:F28"/>
    <mergeCell ref="G28:H28"/>
    <mergeCell ref="I28:J28"/>
    <mergeCell ref="K28:L28"/>
    <mergeCell ref="M28:N28"/>
    <mergeCell ref="A29:B29"/>
    <mergeCell ref="C29:D29"/>
    <mergeCell ref="E29:F29"/>
    <mergeCell ref="G29:H29"/>
    <mergeCell ref="I29:J29"/>
    <mergeCell ref="K29:L29"/>
    <mergeCell ref="M29:N29"/>
    <mergeCell ref="A33:B33"/>
    <mergeCell ref="C33:D33"/>
    <mergeCell ref="E33:F33"/>
    <mergeCell ref="G33:H33"/>
    <mergeCell ref="I33:J33"/>
    <mergeCell ref="K33:L33"/>
    <mergeCell ref="M33:N33"/>
    <mergeCell ref="A34:B34"/>
    <mergeCell ref="C34:D34"/>
    <mergeCell ref="E34:F34"/>
    <mergeCell ref="I34:J34"/>
    <mergeCell ref="K34:L34"/>
    <mergeCell ref="M34:N34"/>
    <mergeCell ref="A38:B38"/>
    <mergeCell ref="C38:D38"/>
    <mergeCell ref="E38:F38"/>
    <mergeCell ref="G38:H38"/>
    <mergeCell ref="I38:J38"/>
    <mergeCell ref="K38:L38"/>
    <mergeCell ref="M38:N38"/>
    <mergeCell ref="A39:B39"/>
    <mergeCell ref="C39:D39"/>
    <mergeCell ref="E39:F39"/>
    <mergeCell ref="G39:H39"/>
    <mergeCell ref="I39:J39"/>
    <mergeCell ref="K39:L39"/>
    <mergeCell ref="M39:N39"/>
    <mergeCell ref="A43:B43"/>
    <mergeCell ref="C43:D43"/>
    <mergeCell ref="E43:F43"/>
    <mergeCell ref="G43:H43"/>
    <mergeCell ref="I43:J43"/>
    <mergeCell ref="K43:L43"/>
    <mergeCell ref="M43:N43"/>
    <mergeCell ref="A44:B44"/>
    <mergeCell ref="C44:D44"/>
    <mergeCell ref="E44:F44"/>
    <mergeCell ref="G44:H44"/>
    <mergeCell ref="I44:J44"/>
    <mergeCell ref="K44:L44"/>
    <mergeCell ref="M44:N44"/>
    <mergeCell ref="A48:B48"/>
    <mergeCell ref="C48:D48"/>
    <mergeCell ref="E48:F48"/>
    <mergeCell ref="G48:H48"/>
    <mergeCell ref="I48:J48"/>
    <mergeCell ref="K48:L48"/>
    <mergeCell ref="M48:N48"/>
    <mergeCell ref="A49:B49"/>
    <mergeCell ref="C49:D49"/>
    <mergeCell ref="E49:F49"/>
    <mergeCell ref="G49:H49"/>
    <mergeCell ref="I49:J49"/>
    <mergeCell ref="K49:L49"/>
    <mergeCell ref="M49:N49"/>
    <mergeCell ref="A53:B53"/>
    <mergeCell ref="C53:D53"/>
    <mergeCell ref="E53:F53"/>
    <mergeCell ref="G53:H53"/>
    <mergeCell ref="I53:J53"/>
    <mergeCell ref="K53:L53"/>
    <mergeCell ref="M53:N53"/>
    <mergeCell ref="A54:B54"/>
    <mergeCell ref="C54:D54"/>
    <mergeCell ref="E54:F54"/>
    <mergeCell ref="G54:H54"/>
    <mergeCell ref="I54:J54"/>
    <mergeCell ref="K54:L54"/>
    <mergeCell ref="M54:N54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59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A60" activeCellId="0" sqref="A60"/>
    </sheetView>
  </sheetViews>
  <sheetFormatPr defaultColWidth="8.7421875" defaultRowHeight="12.8" zeroHeight="false" outlineLevelRow="0" outlineLevelCol="0"/>
  <cols>
    <col collapsed="false" customWidth="true" hidden="false" outlineLevel="0" max="14" min="1" style="0" width="15"/>
    <col collapsed="false" customWidth="true" hidden="false" outlineLevel="0" max="1024" min="1023" style="0" width="11.52"/>
  </cols>
  <sheetData>
    <row r="1" customFormat="false" ht="22.5" hidden="false" customHeight="true" outlineLevel="0" collapsed="false">
      <c r="A1" s="73" t="s">
        <v>69</v>
      </c>
      <c r="B1" s="74" t="s">
        <v>69</v>
      </c>
      <c r="C1" s="75" t="s">
        <v>69</v>
      </c>
      <c r="D1" s="74" t="s">
        <v>69</v>
      </c>
      <c r="E1" s="75" t="s">
        <v>69</v>
      </c>
      <c r="F1" s="74" t="s">
        <v>69</v>
      </c>
      <c r="G1" s="76" t="n">
        <v>0.191666666666667</v>
      </c>
      <c r="H1" s="77" t="n">
        <v>0.513194444444444</v>
      </c>
      <c r="I1" s="78" t="n">
        <v>0.208333333333333</v>
      </c>
      <c r="J1" s="79" t="n">
        <v>0.541666666666667</v>
      </c>
      <c r="K1" s="76" t="n">
        <v>0.191666666666667</v>
      </c>
      <c r="L1" s="77" t="n">
        <v>0.513194444444444</v>
      </c>
      <c r="M1" s="76" t="n">
        <v>0.243055555555556</v>
      </c>
      <c r="N1" s="77" t="n">
        <v>0.5875</v>
      </c>
    </row>
    <row r="2" customFormat="false" ht="22.5" hidden="false" customHeight="true" outlineLevel="0" collapsed="false">
      <c r="A2" s="80" t="s">
        <v>69</v>
      </c>
      <c r="B2" s="81" t="s">
        <v>69</v>
      </c>
      <c r="C2" s="82" t="s">
        <v>69</v>
      </c>
      <c r="D2" s="81" t="s">
        <v>69</v>
      </c>
      <c r="E2" s="82" t="s">
        <v>69</v>
      </c>
      <c r="F2" s="81" t="s">
        <v>69</v>
      </c>
      <c r="G2" s="83" t="s">
        <v>70</v>
      </c>
      <c r="H2" s="84"/>
      <c r="I2" s="82" t="s">
        <v>69</v>
      </c>
      <c r="J2" s="85" t="s">
        <v>69</v>
      </c>
      <c r="K2" s="83" t="s">
        <v>70</v>
      </c>
      <c r="L2" s="84"/>
      <c r="M2" s="83" t="s">
        <v>71</v>
      </c>
      <c r="N2" s="84"/>
    </row>
    <row r="3" customFormat="false" ht="22.5" hidden="false" customHeight="true" outlineLevel="0" collapsed="false">
      <c r="A3" s="86" t="s">
        <v>72</v>
      </c>
      <c r="B3" s="86"/>
      <c r="C3" s="87" t="s">
        <v>72</v>
      </c>
      <c r="D3" s="87"/>
      <c r="E3" s="87" t="s">
        <v>23</v>
      </c>
      <c r="F3" s="87"/>
      <c r="G3" s="88" t="s">
        <v>73</v>
      </c>
      <c r="H3" s="88"/>
      <c r="I3" s="87" t="s">
        <v>74</v>
      </c>
      <c r="J3" s="87"/>
      <c r="K3" s="88" t="s">
        <v>73</v>
      </c>
      <c r="L3" s="88"/>
      <c r="M3" s="89" t="s">
        <v>75</v>
      </c>
      <c r="N3" s="89"/>
    </row>
    <row r="4" customFormat="false" ht="22.5" hidden="false" customHeight="true" outlineLevel="0" collapsed="false">
      <c r="A4" s="86" t="s">
        <v>69</v>
      </c>
      <c r="B4" s="86"/>
      <c r="C4" s="87" t="s">
        <v>69</v>
      </c>
      <c r="D4" s="87"/>
      <c r="E4" s="87" t="s">
        <v>69</v>
      </c>
      <c r="F4" s="87"/>
      <c r="G4" s="90"/>
      <c r="H4" s="90"/>
      <c r="I4" s="87" t="s">
        <v>69</v>
      </c>
      <c r="J4" s="87"/>
      <c r="K4" s="90"/>
      <c r="L4" s="90"/>
      <c r="M4" s="90"/>
      <c r="N4" s="90"/>
    </row>
    <row r="5" customFormat="false" ht="22.5" hidden="false" customHeight="true" outlineLevel="0" collapsed="false">
      <c r="A5" s="91" t="s">
        <v>69</v>
      </c>
      <c r="B5" s="92" t="n">
        <v>0</v>
      </c>
      <c r="C5" s="93" t="s">
        <v>69</v>
      </c>
      <c r="D5" s="92" t="n">
        <v>0</v>
      </c>
      <c r="E5" s="93" t="s">
        <v>69</v>
      </c>
      <c r="F5" s="92" t="n">
        <v>0.333333333333333</v>
      </c>
      <c r="G5" s="93" t="s">
        <v>69</v>
      </c>
      <c r="H5" s="92" t="n">
        <v>0.321527777777778</v>
      </c>
      <c r="I5" s="93" t="s">
        <v>69</v>
      </c>
      <c r="J5" s="92" t="n">
        <v>0.333333333333333</v>
      </c>
      <c r="K5" s="93" t="s">
        <v>69</v>
      </c>
      <c r="L5" s="92" t="n">
        <v>0.321527777777778</v>
      </c>
      <c r="M5" s="93" t="s">
        <v>69</v>
      </c>
      <c r="N5" s="92" t="n">
        <v>0.344444444444444</v>
      </c>
    </row>
    <row r="6" customFormat="false" ht="22.5" hidden="false" customHeight="true" outlineLevel="0" collapsed="false">
      <c r="A6" s="76" t="n">
        <v>0.272916666666667</v>
      </c>
      <c r="B6" s="77" t="n">
        <v>0.5875</v>
      </c>
      <c r="C6" s="76" t="n">
        <v>0.215972222222222</v>
      </c>
      <c r="D6" s="77" t="n">
        <v>0.598611111111111</v>
      </c>
      <c r="E6" s="76" t="n">
        <v>0.191666666666667</v>
      </c>
      <c r="F6" s="77" t="n">
        <v>0.513194444444444</v>
      </c>
      <c r="G6" s="94"/>
      <c r="H6" s="94"/>
      <c r="I6" s="76" t="n">
        <v>0.191666666666667</v>
      </c>
      <c r="J6" s="77" t="n">
        <v>0.513194444444444</v>
      </c>
      <c r="K6" s="76" t="n">
        <v>0.276388888888889</v>
      </c>
      <c r="L6" s="77" t="n">
        <v>0.56875</v>
      </c>
      <c r="M6" s="75" t="s">
        <v>69</v>
      </c>
      <c r="N6" s="74" t="s">
        <v>69</v>
      </c>
    </row>
    <row r="7" customFormat="false" ht="22.5" hidden="false" customHeight="true" outlineLevel="0" collapsed="false">
      <c r="A7" s="83" t="s">
        <v>76</v>
      </c>
      <c r="B7" s="84"/>
      <c r="C7" s="83" t="s">
        <v>77</v>
      </c>
      <c r="D7" s="84"/>
      <c r="E7" s="83" t="s">
        <v>70</v>
      </c>
      <c r="F7" s="84"/>
      <c r="G7" s="94"/>
      <c r="H7" s="94"/>
      <c r="I7" s="83" t="s">
        <v>70</v>
      </c>
      <c r="J7" s="84"/>
      <c r="K7" s="83" t="s">
        <v>78</v>
      </c>
      <c r="L7" s="95" t="s">
        <v>79</v>
      </c>
      <c r="M7" s="82" t="s">
        <v>69</v>
      </c>
      <c r="N7" s="85" t="s">
        <v>69</v>
      </c>
    </row>
    <row r="8" customFormat="false" ht="22.5" hidden="false" customHeight="true" outlineLevel="0" collapsed="false">
      <c r="A8" s="89" t="s">
        <v>80</v>
      </c>
      <c r="B8" s="89"/>
      <c r="C8" s="96" t="s">
        <v>81</v>
      </c>
      <c r="D8" s="96"/>
      <c r="E8" s="88" t="s">
        <v>73</v>
      </c>
      <c r="F8" s="88"/>
      <c r="G8" s="87" t="s">
        <v>72</v>
      </c>
      <c r="H8" s="87"/>
      <c r="I8" s="88" t="s">
        <v>73</v>
      </c>
      <c r="J8" s="88"/>
      <c r="K8" s="97"/>
      <c r="L8" s="97"/>
      <c r="M8" s="87" t="s">
        <v>72</v>
      </c>
      <c r="N8" s="87"/>
    </row>
    <row r="9" customFormat="false" ht="22.5" hidden="false" customHeight="true" outlineLevel="0" collapsed="false">
      <c r="A9" s="90"/>
      <c r="B9" s="90"/>
      <c r="C9" s="87" t="s">
        <v>69</v>
      </c>
      <c r="D9" s="87"/>
      <c r="E9" s="90"/>
      <c r="F9" s="90"/>
      <c r="G9" s="94"/>
      <c r="H9" s="94"/>
      <c r="I9" s="90"/>
      <c r="J9" s="90"/>
      <c r="K9" s="90"/>
      <c r="L9" s="90"/>
      <c r="M9" s="87" t="s">
        <v>69</v>
      </c>
      <c r="N9" s="87"/>
    </row>
    <row r="10" customFormat="false" ht="22.5" hidden="false" customHeight="true" outlineLevel="0" collapsed="false">
      <c r="A10" s="91" t="s">
        <v>69</v>
      </c>
      <c r="B10" s="92" t="n">
        <v>0.314583333333333</v>
      </c>
      <c r="C10" s="93" t="s">
        <v>69</v>
      </c>
      <c r="D10" s="92" t="n">
        <v>0.382638888888889</v>
      </c>
      <c r="E10" s="93" t="s">
        <v>69</v>
      </c>
      <c r="F10" s="92" t="n">
        <v>0.321527777777778</v>
      </c>
      <c r="G10" s="93" t="s">
        <v>69</v>
      </c>
      <c r="H10" s="92" t="n">
        <v>0</v>
      </c>
      <c r="I10" s="93" t="s">
        <v>69</v>
      </c>
      <c r="J10" s="92" t="n">
        <v>0.321527777777778</v>
      </c>
      <c r="K10" s="93" t="s">
        <v>69</v>
      </c>
      <c r="L10" s="92" t="n">
        <v>0.292361111111111</v>
      </c>
      <c r="M10" s="93" t="s">
        <v>69</v>
      </c>
      <c r="N10" s="92" t="n">
        <v>0</v>
      </c>
    </row>
    <row r="11" customFormat="false" ht="22.5" hidden="false" customHeight="true" outlineLevel="0" collapsed="false">
      <c r="A11" s="73" t="s">
        <v>69</v>
      </c>
      <c r="B11" s="74" t="s">
        <v>69</v>
      </c>
      <c r="C11" s="78" t="n">
        <v>0.208333333333333</v>
      </c>
      <c r="D11" s="79" t="n">
        <v>0.541666666666667</v>
      </c>
      <c r="E11" s="78" t="n">
        <v>0.208333333333333</v>
      </c>
      <c r="F11" s="79" t="n">
        <v>0.541666666666667</v>
      </c>
      <c r="G11" s="76" t="n">
        <v>0.325694444444444</v>
      </c>
      <c r="H11" s="77" t="n">
        <v>0.734027777777778</v>
      </c>
      <c r="I11" s="75" t="s">
        <v>69</v>
      </c>
      <c r="J11" s="74" t="s">
        <v>69</v>
      </c>
      <c r="K11" s="76" t="n">
        <v>0.338194444444444</v>
      </c>
      <c r="L11" s="77" t="n">
        <v>0.64375</v>
      </c>
      <c r="M11" s="76" t="n">
        <v>0.338194444444444</v>
      </c>
      <c r="N11" s="77" t="n">
        <v>0.64375</v>
      </c>
    </row>
    <row r="12" customFormat="false" ht="22.5" hidden="false" customHeight="true" outlineLevel="0" collapsed="false">
      <c r="A12" s="80" t="s">
        <v>69</v>
      </c>
      <c r="B12" s="81" t="s">
        <v>69</v>
      </c>
      <c r="C12" s="82" t="s">
        <v>69</v>
      </c>
      <c r="D12" s="81" t="s">
        <v>69</v>
      </c>
      <c r="E12" s="82" t="s">
        <v>69</v>
      </c>
      <c r="F12" s="81" t="s">
        <v>69</v>
      </c>
      <c r="G12" s="83" t="s">
        <v>82</v>
      </c>
      <c r="H12" s="84"/>
      <c r="I12" s="82" t="s">
        <v>69</v>
      </c>
      <c r="J12" s="81" t="s">
        <v>69</v>
      </c>
      <c r="K12" s="83" t="s">
        <v>83</v>
      </c>
      <c r="L12" s="95" t="s">
        <v>84</v>
      </c>
      <c r="M12" s="83" t="s">
        <v>85</v>
      </c>
      <c r="N12" s="98" t="s">
        <v>84</v>
      </c>
    </row>
    <row r="13" customFormat="false" ht="22.5" hidden="false" customHeight="true" outlineLevel="0" collapsed="false">
      <c r="A13" s="86" t="s">
        <v>72</v>
      </c>
      <c r="B13" s="86"/>
      <c r="C13" s="87" t="s">
        <v>74</v>
      </c>
      <c r="D13" s="87"/>
      <c r="E13" s="87" t="s">
        <v>74</v>
      </c>
      <c r="F13" s="87"/>
      <c r="G13" s="89" t="s">
        <v>86</v>
      </c>
      <c r="H13" s="89"/>
      <c r="I13" s="87" t="s">
        <v>72</v>
      </c>
      <c r="J13" s="87"/>
      <c r="K13" s="96" t="s">
        <v>87</v>
      </c>
      <c r="L13" s="96"/>
      <c r="M13" s="97"/>
      <c r="N13" s="97"/>
    </row>
    <row r="14" customFormat="false" ht="22.5" hidden="false" customHeight="true" outlineLevel="0" collapsed="false">
      <c r="A14" s="86" t="s">
        <v>69</v>
      </c>
      <c r="B14" s="86"/>
      <c r="C14" s="87" t="s">
        <v>69</v>
      </c>
      <c r="D14" s="87"/>
      <c r="E14" s="87" t="s">
        <v>69</v>
      </c>
      <c r="F14" s="87"/>
      <c r="G14" s="87" t="s">
        <v>69</v>
      </c>
      <c r="H14" s="87"/>
      <c r="I14" s="87" t="s">
        <v>69</v>
      </c>
      <c r="J14" s="87"/>
      <c r="K14" s="87" t="s">
        <v>69</v>
      </c>
      <c r="L14" s="87"/>
      <c r="M14" s="90"/>
      <c r="N14" s="90"/>
    </row>
    <row r="15" customFormat="false" ht="22.5" hidden="false" customHeight="true" outlineLevel="0" collapsed="false">
      <c r="A15" s="91" t="s">
        <v>69</v>
      </c>
      <c r="B15" s="92" t="n">
        <v>0</v>
      </c>
      <c r="C15" s="93" t="s">
        <v>69</v>
      </c>
      <c r="D15" s="92" t="n">
        <v>0.333333333333333</v>
      </c>
      <c r="E15" s="93" t="s">
        <v>69</v>
      </c>
      <c r="F15" s="92" t="n">
        <v>0.333333333333333</v>
      </c>
      <c r="G15" s="93" t="s">
        <v>69</v>
      </c>
      <c r="H15" s="92" t="n">
        <v>0.408333333333333</v>
      </c>
      <c r="I15" s="93" t="s">
        <v>69</v>
      </c>
      <c r="J15" s="92" t="n">
        <v>0</v>
      </c>
      <c r="K15" s="93" t="s">
        <v>69</v>
      </c>
      <c r="L15" s="92" t="n">
        <v>0.305555555555555</v>
      </c>
      <c r="M15" s="93" t="s">
        <v>69</v>
      </c>
      <c r="N15" s="92" t="n">
        <v>0.305555555555555</v>
      </c>
    </row>
    <row r="16" customFormat="false" ht="22.5" hidden="false" customHeight="true" outlineLevel="0" collapsed="false">
      <c r="A16" s="76" t="n">
        <v>0.338194444444444</v>
      </c>
      <c r="B16" s="77" t="n">
        <v>0.64375</v>
      </c>
      <c r="C16" s="76" t="n">
        <v>0.276388888888889</v>
      </c>
      <c r="D16" s="77" t="n">
        <v>0.56875</v>
      </c>
      <c r="E16" s="94"/>
      <c r="F16" s="94"/>
      <c r="G16" s="76" t="n">
        <v>0.215972222222222</v>
      </c>
      <c r="H16" s="77" t="n">
        <v>0.598611111111111</v>
      </c>
      <c r="I16" s="76" t="n">
        <v>0.338194444444444</v>
      </c>
      <c r="J16" s="77" t="n">
        <v>0.64375</v>
      </c>
      <c r="K16" s="76" t="n">
        <v>0.325694444444444</v>
      </c>
      <c r="L16" s="77" t="n">
        <v>0.734027777777778</v>
      </c>
      <c r="M16" s="75" t="s">
        <v>69</v>
      </c>
      <c r="N16" s="74" t="s">
        <v>69</v>
      </c>
    </row>
    <row r="17" customFormat="false" ht="22.5" hidden="false" customHeight="true" outlineLevel="0" collapsed="false">
      <c r="A17" s="83" t="s">
        <v>90</v>
      </c>
      <c r="B17" s="98" t="s">
        <v>84</v>
      </c>
      <c r="C17" s="83" t="s">
        <v>78</v>
      </c>
      <c r="D17" s="95" t="s">
        <v>79</v>
      </c>
      <c r="E17" s="94"/>
      <c r="F17" s="94"/>
      <c r="G17" s="83" t="s">
        <v>77</v>
      </c>
      <c r="H17" s="84"/>
      <c r="I17" s="83" t="s">
        <v>83</v>
      </c>
      <c r="J17" s="95" t="s">
        <v>84</v>
      </c>
      <c r="K17" s="83" t="s">
        <v>82</v>
      </c>
      <c r="L17" s="84"/>
      <c r="M17" s="82" t="s">
        <v>69</v>
      </c>
      <c r="N17" s="81" t="s">
        <v>69</v>
      </c>
    </row>
    <row r="18" customFormat="false" ht="22.5" hidden="false" customHeight="true" outlineLevel="0" collapsed="false">
      <c r="A18" s="89" t="s">
        <v>91</v>
      </c>
      <c r="B18" s="89"/>
      <c r="C18" s="97"/>
      <c r="D18" s="97"/>
      <c r="E18" s="87" t="s">
        <v>72</v>
      </c>
      <c r="F18" s="87"/>
      <c r="G18" s="96" t="s">
        <v>81</v>
      </c>
      <c r="H18" s="96"/>
      <c r="I18" s="96" t="s">
        <v>87</v>
      </c>
      <c r="J18" s="96"/>
      <c r="K18" s="89" t="s">
        <v>86</v>
      </c>
      <c r="L18" s="89"/>
      <c r="M18" s="87" t="s">
        <v>72</v>
      </c>
      <c r="N18" s="87"/>
    </row>
    <row r="19" customFormat="false" ht="22.5" hidden="false" customHeight="true" outlineLevel="0" collapsed="false">
      <c r="A19" s="86" t="s">
        <v>69</v>
      </c>
      <c r="B19" s="86"/>
      <c r="C19" s="90"/>
      <c r="D19" s="90"/>
      <c r="E19" s="86" t="s">
        <v>69</v>
      </c>
      <c r="F19" s="86"/>
      <c r="G19" s="87" t="s">
        <v>69</v>
      </c>
      <c r="H19" s="87"/>
      <c r="I19" s="90"/>
      <c r="J19" s="90"/>
      <c r="K19" s="87" t="s">
        <v>69</v>
      </c>
      <c r="L19" s="87"/>
      <c r="M19" s="87" t="s">
        <v>69</v>
      </c>
      <c r="N19" s="87"/>
    </row>
    <row r="20" customFormat="false" ht="22.5" hidden="false" customHeight="true" outlineLevel="0" collapsed="false">
      <c r="A20" s="91" t="s">
        <v>69</v>
      </c>
      <c r="B20" s="92" t="n">
        <v>0.305555555555555</v>
      </c>
      <c r="C20" s="93" t="s">
        <v>69</v>
      </c>
      <c r="D20" s="92" t="n">
        <v>0.292361111111111</v>
      </c>
      <c r="E20" s="93" t="s">
        <v>69</v>
      </c>
      <c r="F20" s="92" t="n">
        <v>0</v>
      </c>
      <c r="G20" s="93" t="s">
        <v>69</v>
      </c>
      <c r="H20" s="92" t="n">
        <v>0.382638888888889</v>
      </c>
      <c r="I20" s="93" t="s">
        <v>69</v>
      </c>
      <c r="J20" s="92" t="n">
        <v>0.305555555555555</v>
      </c>
      <c r="K20" s="93" t="s">
        <v>69</v>
      </c>
      <c r="L20" s="92" t="n">
        <v>0.408333333333333</v>
      </c>
      <c r="M20" s="93" t="s">
        <v>69</v>
      </c>
      <c r="N20" s="92" t="n">
        <v>0</v>
      </c>
    </row>
    <row r="21" customFormat="false" ht="22.5" hidden="false" customHeight="true" outlineLevel="0" collapsed="false">
      <c r="A21" s="73" t="s">
        <v>69</v>
      </c>
      <c r="B21" s="74" t="s">
        <v>69</v>
      </c>
      <c r="C21" s="75" t="s">
        <v>69</v>
      </c>
      <c r="D21" s="74" t="s">
        <v>69</v>
      </c>
      <c r="E21" s="75" t="s">
        <v>69</v>
      </c>
      <c r="F21" s="74" t="s">
        <v>69</v>
      </c>
      <c r="G21" s="76" t="n">
        <v>0.338194444444444</v>
      </c>
      <c r="H21" s="77" t="n">
        <v>0.64375</v>
      </c>
      <c r="I21" s="78" t="n">
        <v>0.583333333333333</v>
      </c>
      <c r="J21" s="79" t="n">
        <v>0.916666666666667</v>
      </c>
      <c r="K21" s="78" t="n">
        <v>0.583333333333333</v>
      </c>
      <c r="L21" s="78" t="n">
        <v>0.916666666666667</v>
      </c>
      <c r="M21" s="76" t="n">
        <v>0.811805555555556</v>
      </c>
      <c r="N21" s="77" t="n">
        <v>1.06805555555556</v>
      </c>
    </row>
    <row r="22" customFormat="false" ht="22.5" hidden="false" customHeight="true" outlineLevel="0" collapsed="false">
      <c r="A22" s="80" t="s">
        <v>69</v>
      </c>
      <c r="B22" s="85" t="s">
        <v>69</v>
      </c>
      <c r="C22" s="82" t="s">
        <v>69</v>
      </c>
      <c r="D22" s="81" t="s">
        <v>69</v>
      </c>
      <c r="E22" s="82" t="s">
        <v>69</v>
      </c>
      <c r="F22" s="81" t="s">
        <v>69</v>
      </c>
      <c r="G22" s="83" t="s">
        <v>83</v>
      </c>
      <c r="H22" s="95" t="s">
        <v>84</v>
      </c>
      <c r="I22" s="82" t="s">
        <v>69</v>
      </c>
      <c r="J22" s="85" t="s">
        <v>69</v>
      </c>
      <c r="K22" s="82"/>
      <c r="L22" s="100"/>
      <c r="M22" s="83" t="s">
        <v>93</v>
      </c>
      <c r="N22" s="99" t="s">
        <v>94</v>
      </c>
    </row>
    <row r="23" customFormat="false" ht="22.5" hidden="false" customHeight="true" outlineLevel="0" collapsed="false">
      <c r="A23" s="86" t="s">
        <v>72</v>
      </c>
      <c r="B23" s="86"/>
      <c r="C23" s="87" t="s">
        <v>72</v>
      </c>
      <c r="D23" s="87"/>
      <c r="E23" s="87" t="s">
        <v>23</v>
      </c>
      <c r="F23" s="87"/>
      <c r="G23" s="96" t="s">
        <v>87</v>
      </c>
      <c r="H23" s="96"/>
      <c r="I23" s="87" t="s">
        <v>74</v>
      </c>
      <c r="J23" s="87"/>
      <c r="K23" s="101" t="s">
        <v>74</v>
      </c>
      <c r="L23" s="101"/>
      <c r="M23" s="97"/>
      <c r="N23" s="97"/>
    </row>
    <row r="24" customFormat="false" ht="22.5" hidden="false" customHeight="true" outlineLevel="0" collapsed="false">
      <c r="A24" s="86" t="s">
        <v>69</v>
      </c>
      <c r="B24" s="86"/>
      <c r="C24" s="87" t="s">
        <v>69</v>
      </c>
      <c r="D24" s="87"/>
      <c r="E24" s="87" t="s">
        <v>69</v>
      </c>
      <c r="F24" s="87"/>
      <c r="G24" s="90"/>
      <c r="H24" s="90"/>
      <c r="I24" s="87" t="s">
        <v>69</v>
      </c>
      <c r="J24" s="87"/>
      <c r="K24" s="101" t="s">
        <v>69</v>
      </c>
      <c r="L24" s="101"/>
      <c r="M24" s="86" t="s">
        <v>69</v>
      </c>
      <c r="N24" s="86"/>
    </row>
    <row r="25" customFormat="false" ht="22.5" hidden="false" customHeight="true" outlineLevel="0" collapsed="false">
      <c r="A25" s="91" t="s">
        <v>69</v>
      </c>
      <c r="B25" s="92" t="n">
        <v>0</v>
      </c>
      <c r="C25" s="93" t="s">
        <v>69</v>
      </c>
      <c r="D25" s="92" t="n">
        <v>0</v>
      </c>
      <c r="E25" s="93" t="s">
        <v>69</v>
      </c>
      <c r="F25" s="92" t="n">
        <v>0.333333333333333</v>
      </c>
      <c r="G25" s="93" t="s">
        <v>69</v>
      </c>
      <c r="H25" s="92" t="n">
        <v>0.305555555555555</v>
      </c>
      <c r="I25" s="93" t="s">
        <v>69</v>
      </c>
      <c r="J25" s="92" t="n">
        <v>0.333333333333333</v>
      </c>
      <c r="K25" s="93" t="s">
        <v>69</v>
      </c>
      <c r="L25" s="102" t="n">
        <v>0.333333333333333</v>
      </c>
      <c r="M25" s="91" t="s">
        <v>69</v>
      </c>
      <c r="N25" s="92" t="n">
        <v>0.25625</v>
      </c>
    </row>
    <row r="26" customFormat="false" ht="22.5" hidden="false" customHeight="true" outlineLevel="0" collapsed="false">
      <c r="A26" s="76" t="n">
        <v>0.580555555555556</v>
      </c>
      <c r="B26" s="77" t="n">
        <v>0.984722222222222</v>
      </c>
      <c r="C26" s="78" t="n">
        <v>0.583333333333333</v>
      </c>
      <c r="D26" s="79" t="n">
        <v>0.916666666666667</v>
      </c>
      <c r="E26" s="75" t="s">
        <v>69</v>
      </c>
      <c r="F26" s="74" t="s">
        <v>69</v>
      </c>
      <c r="G26" s="76" t="n">
        <v>0.629861111111111</v>
      </c>
      <c r="H26" s="77" t="n">
        <v>0.879861111111111</v>
      </c>
      <c r="I26" s="78" t="n">
        <v>0.543055555555555</v>
      </c>
      <c r="J26" s="79" t="n">
        <v>0.8375</v>
      </c>
      <c r="K26" s="76" t="n">
        <v>0.572916666666667</v>
      </c>
      <c r="L26" s="77" t="n">
        <v>0.915277777777778</v>
      </c>
      <c r="M26" s="75" t="s">
        <v>69</v>
      </c>
      <c r="N26" s="74" t="s">
        <v>69</v>
      </c>
    </row>
    <row r="27" customFormat="false" ht="22.5" hidden="false" customHeight="true" outlineLevel="0" collapsed="false">
      <c r="A27" s="83" t="s">
        <v>95</v>
      </c>
      <c r="B27" s="84"/>
      <c r="C27" s="82" t="s">
        <v>69</v>
      </c>
      <c r="D27" s="85" t="s">
        <v>69</v>
      </c>
      <c r="E27" s="82" t="s">
        <v>69</v>
      </c>
      <c r="F27" s="85" t="s">
        <v>69</v>
      </c>
      <c r="G27" s="83" t="s">
        <v>96</v>
      </c>
      <c r="H27" s="95" t="s">
        <v>97</v>
      </c>
      <c r="I27" s="82" t="s">
        <v>98</v>
      </c>
      <c r="J27" s="85" t="s">
        <v>99</v>
      </c>
      <c r="K27" s="83" t="s">
        <v>100</v>
      </c>
      <c r="L27" s="84"/>
      <c r="M27" s="82" t="s">
        <v>69</v>
      </c>
      <c r="N27" s="81" t="s">
        <v>69</v>
      </c>
    </row>
    <row r="28" customFormat="false" ht="22.5" hidden="false" customHeight="true" outlineLevel="0" collapsed="false">
      <c r="A28" s="96" t="s">
        <v>101</v>
      </c>
      <c r="B28" s="96"/>
      <c r="C28" s="87" t="s">
        <v>74</v>
      </c>
      <c r="D28" s="87"/>
      <c r="E28" s="87" t="s">
        <v>72</v>
      </c>
      <c r="F28" s="87"/>
      <c r="G28" s="97"/>
      <c r="H28" s="97"/>
      <c r="I28" s="87" t="s">
        <v>69</v>
      </c>
      <c r="J28" s="87"/>
      <c r="K28" s="96" t="s">
        <v>102</v>
      </c>
      <c r="L28" s="96"/>
      <c r="M28" s="87" t="s">
        <v>72</v>
      </c>
      <c r="N28" s="87"/>
    </row>
    <row r="29" customFormat="false" ht="22.5" hidden="false" customHeight="true" outlineLevel="0" collapsed="false">
      <c r="A29" s="90"/>
      <c r="B29" s="90"/>
      <c r="C29" s="87" t="s">
        <v>69</v>
      </c>
      <c r="D29" s="87"/>
      <c r="E29" s="87" t="s">
        <v>69</v>
      </c>
      <c r="F29" s="87"/>
      <c r="G29" s="87" t="s">
        <v>69</v>
      </c>
      <c r="H29" s="87"/>
      <c r="I29" s="87" t="s">
        <v>69</v>
      </c>
      <c r="J29" s="87"/>
      <c r="K29" s="87" t="s">
        <v>69</v>
      </c>
      <c r="L29" s="87"/>
      <c r="M29" s="87" t="s">
        <v>69</v>
      </c>
      <c r="N29" s="87"/>
    </row>
    <row r="30" customFormat="false" ht="22.5" hidden="false" customHeight="true" outlineLevel="0" collapsed="false">
      <c r="A30" s="91" t="s">
        <v>69</v>
      </c>
      <c r="B30" s="92" t="n">
        <v>0.3625</v>
      </c>
      <c r="C30" s="93" t="s">
        <v>69</v>
      </c>
      <c r="D30" s="92" t="n">
        <v>0.333333333333333</v>
      </c>
      <c r="E30" s="93" t="s">
        <v>69</v>
      </c>
      <c r="F30" s="92" t="n">
        <v>0</v>
      </c>
      <c r="G30" s="93" t="s">
        <v>69</v>
      </c>
      <c r="H30" s="92" t="n">
        <v>0.25</v>
      </c>
      <c r="I30" s="93" t="s">
        <v>69</v>
      </c>
      <c r="J30" s="92" t="n">
        <v>0.294444444444444</v>
      </c>
      <c r="K30" s="93" t="s">
        <v>69</v>
      </c>
      <c r="L30" s="92" t="n">
        <v>0.342361111111111</v>
      </c>
      <c r="M30" s="93" t="s">
        <v>69</v>
      </c>
      <c r="N30" s="92" t="n">
        <v>0</v>
      </c>
    </row>
    <row r="31" customFormat="false" ht="22.5" hidden="false" customHeight="true" outlineLevel="0" collapsed="false">
      <c r="A31" s="73" t="s">
        <v>69</v>
      </c>
      <c r="B31" s="74" t="s">
        <v>69</v>
      </c>
      <c r="C31" s="76" t="n">
        <v>0.629861111111111</v>
      </c>
      <c r="D31" s="77" t="n">
        <v>0.879861111111111</v>
      </c>
      <c r="E31" s="78" t="n">
        <v>0.543055555555555</v>
      </c>
      <c r="F31" s="79" t="n">
        <v>0.8375</v>
      </c>
      <c r="G31" s="94"/>
      <c r="H31" s="94"/>
      <c r="I31" s="76" t="n">
        <v>0.325694444444444</v>
      </c>
      <c r="J31" s="77" t="n">
        <v>0.734027777777778</v>
      </c>
      <c r="K31" s="78" t="n">
        <v>0.543055555555555</v>
      </c>
      <c r="L31" s="79" t="n">
        <v>0.8375</v>
      </c>
      <c r="M31" s="78" t="n">
        <v>0.543055555555555</v>
      </c>
      <c r="N31" s="79" t="n">
        <v>0.8375</v>
      </c>
    </row>
    <row r="32" customFormat="false" ht="22.5" hidden="false" customHeight="true" outlineLevel="0" collapsed="false">
      <c r="A32" s="80" t="s">
        <v>69</v>
      </c>
      <c r="B32" s="81" t="s">
        <v>69</v>
      </c>
      <c r="C32" s="83" t="s">
        <v>96</v>
      </c>
      <c r="D32" s="95" t="s">
        <v>97</v>
      </c>
      <c r="E32" s="82" t="s">
        <v>98</v>
      </c>
      <c r="F32" s="85" t="s">
        <v>99</v>
      </c>
      <c r="G32" s="94"/>
      <c r="H32" s="94"/>
      <c r="I32" s="83" t="s">
        <v>82</v>
      </c>
      <c r="J32" s="84"/>
      <c r="K32" s="82" t="s">
        <v>98</v>
      </c>
      <c r="L32" s="85" t="s">
        <v>99</v>
      </c>
      <c r="M32" s="82" t="s">
        <v>103</v>
      </c>
      <c r="N32" s="85" t="s">
        <v>99</v>
      </c>
    </row>
    <row r="33" customFormat="false" ht="22.5" hidden="false" customHeight="true" outlineLevel="0" collapsed="false">
      <c r="A33" s="86" t="s">
        <v>72</v>
      </c>
      <c r="B33" s="86"/>
      <c r="C33" s="97"/>
      <c r="D33" s="97"/>
      <c r="E33" s="87" t="s">
        <v>69</v>
      </c>
      <c r="F33" s="87"/>
      <c r="G33" s="87" t="s">
        <v>72</v>
      </c>
      <c r="H33" s="87"/>
      <c r="I33" s="89" t="s">
        <v>86</v>
      </c>
      <c r="J33" s="89"/>
      <c r="K33" s="87" t="s">
        <v>69</v>
      </c>
      <c r="L33" s="87"/>
      <c r="M33" s="87" t="s">
        <v>69</v>
      </c>
      <c r="N33" s="87"/>
    </row>
    <row r="34" customFormat="false" ht="22.5" hidden="false" customHeight="true" outlineLevel="0" collapsed="false">
      <c r="A34" s="86" t="s">
        <v>69</v>
      </c>
      <c r="B34" s="86"/>
      <c r="C34" s="87" t="s">
        <v>69</v>
      </c>
      <c r="D34" s="87"/>
      <c r="E34" s="87" t="s">
        <v>69</v>
      </c>
      <c r="F34" s="87"/>
      <c r="G34" s="94"/>
      <c r="H34" s="94"/>
      <c r="I34" s="86" t="s">
        <v>69</v>
      </c>
      <c r="J34" s="86"/>
      <c r="K34" s="87" t="s">
        <v>69</v>
      </c>
      <c r="L34" s="87"/>
      <c r="M34" s="87" t="s">
        <v>69</v>
      </c>
      <c r="N34" s="87"/>
    </row>
    <row r="35" customFormat="false" ht="22.5" hidden="false" customHeight="true" outlineLevel="0" collapsed="false">
      <c r="A35" s="91" t="s">
        <v>69</v>
      </c>
      <c r="B35" s="92" t="n">
        <v>0</v>
      </c>
      <c r="C35" s="93" t="s">
        <v>69</v>
      </c>
      <c r="D35" s="92" t="n">
        <v>0.25</v>
      </c>
      <c r="E35" s="93" t="s">
        <v>69</v>
      </c>
      <c r="F35" s="92" t="n">
        <v>0.294444444444444</v>
      </c>
      <c r="G35" s="93" t="s">
        <v>69</v>
      </c>
      <c r="H35" s="92" t="n">
        <v>0</v>
      </c>
      <c r="I35" s="93" t="s">
        <v>69</v>
      </c>
      <c r="J35" s="92" t="n">
        <v>0.408333333333333</v>
      </c>
      <c r="K35" s="93" t="s">
        <v>69</v>
      </c>
      <c r="L35" s="92" t="n">
        <v>0.294444444444444</v>
      </c>
      <c r="M35" s="93" t="s">
        <v>69</v>
      </c>
      <c r="N35" s="92" t="n">
        <v>0.294444444444444</v>
      </c>
    </row>
    <row r="36" customFormat="false" ht="22.5" hidden="false" customHeight="true" outlineLevel="0" collapsed="false">
      <c r="A36" s="76" t="n">
        <v>0.580555555555556</v>
      </c>
      <c r="B36" s="77" t="n">
        <v>0.924305555555556</v>
      </c>
      <c r="C36" s="76" t="n">
        <v>0.543055555555555</v>
      </c>
      <c r="D36" s="77" t="n">
        <v>0.8375</v>
      </c>
      <c r="E36" s="94"/>
      <c r="F36" s="94"/>
      <c r="G36" s="103" t="n">
        <v>0.583333333333333</v>
      </c>
      <c r="H36" s="79" t="n">
        <v>0.916666666666667</v>
      </c>
      <c r="I36" s="76" t="n">
        <v>0.629861111111111</v>
      </c>
      <c r="J36" s="77" t="n">
        <v>0.879861111111111</v>
      </c>
      <c r="K36" s="75" t="s">
        <v>69</v>
      </c>
      <c r="L36" s="74" t="s">
        <v>69</v>
      </c>
      <c r="M36" s="75" t="s">
        <v>69</v>
      </c>
      <c r="N36" s="74" t="s">
        <v>69</v>
      </c>
    </row>
    <row r="37" customFormat="false" ht="22.5" hidden="false" customHeight="true" outlineLevel="0" collapsed="false">
      <c r="A37" s="83" t="s">
        <v>104</v>
      </c>
      <c r="B37" s="104" t="s">
        <v>105</v>
      </c>
      <c r="C37" s="83" t="s">
        <v>98</v>
      </c>
      <c r="D37" s="95" t="s">
        <v>120</v>
      </c>
      <c r="E37" s="94"/>
      <c r="F37" s="94"/>
      <c r="G37" s="80" t="s">
        <v>69</v>
      </c>
      <c r="H37" s="85" t="s">
        <v>69</v>
      </c>
      <c r="I37" s="83" t="s">
        <v>96</v>
      </c>
      <c r="J37" s="95" t="s">
        <v>97</v>
      </c>
      <c r="K37" s="82" t="s">
        <v>69</v>
      </c>
      <c r="L37" s="85" t="s">
        <v>69</v>
      </c>
      <c r="M37" s="82" t="s">
        <v>69</v>
      </c>
      <c r="N37" s="81" t="s">
        <v>69</v>
      </c>
    </row>
    <row r="38" customFormat="false" ht="22.5" hidden="false" customHeight="true" outlineLevel="0" collapsed="false">
      <c r="A38" s="105" t="s">
        <v>106</v>
      </c>
      <c r="B38" s="105"/>
      <c r="C38" s="97"/>
      <c r="D38" s="97"/>
      <c r="E38" s="87" t="s">
        <v>72</v>
      </c>
      <c r="F38" s="87"/>
      <c r="G38" s="87" t="s">
        <v>74</v>
      </c>
      <c r="H38" s="87"/>
      <c r="I38" s="97"/>
      <c r="J38" s="97"/>
      <c r="K38" s="87" t="s">
        <v>23</v>
      </c>
      <c r="L38" s="87"/>
      <c r="M38" s="87" t="s">
        <v>72</v>
      </c>
      <c r="N38" s="87"/>
    </row>
    <row r="39" customFormat="false" ht="22.5" hidden="false" customHeight="true" outlineLevel="0" collapsed="false">
      <c r="A39" s="86" t="s">
        <v>69</v>
      </c>
      <c r="B39" s="86"/>
      <c r="C39" s="94"/>
      <c r="D39" s="94"/>
      <c r="E39" s="86" t="s">
        <v>69</v>
      </c>
      <c r="F39" s="86"/>
      <c r="G39" s="87" t="s">
        <v>69</v>
      </c>
      <c r="H39" s="87"/>
      <c r="I39" s="87" t="s">
        <v>69</v>
      </c>
      <c r="J39" s="87"/>
      <c r="K39" s="87" t="s">
        <v>69</v>
      </c>
      <c r="L39" s="87"/>
      <c r="M39" s="87" t="s">
        <v>69</v>
      </c>
      <c r="N39" s="87"/>
    </row>
    <row r="40" customFormat="false" ht="22.5" hidden="false" customHeight="true" outlineLevel="0" collapsed="false">
      <c r="A40" s="91" t="s">
        <v>69</v>
      </c>
      <c r="B40" s="92" t="n">
        <v>0.34375</v>
      </c>
      <c r="C40" s="93" t="s">
        <v>69</v>
      </c>
      <c r="D40" s="92" t="n">
        <v>0.294444444444444</v>
      </c>
      <c r="E40" s="93" t="s">
        <v>69</v>
      </c>
      <c r="F40" s="92" t="n">
        <v>0</v>
      </c>
      <c r="G40" s="93" t="s">
        <v>69</v>
      </c>
      <c r="H40" s="92" t="n">
        <v>0.333333333333333</v>
      </c>
      <c r="I40" s="93" t="s">
        <v>69</v>
      </c>
      <c r="J40" s="92" t="n">
        <v>0.25</v>
      </c>
      <c r="K40" s="93" t="s">
        <v>69</v>
      </c>
      <c r="L40" s="92" t="n">
        <v>0.333333333333333</v>
      </c>
      <c r="M40" s="93" t="s">
        <v>69</v>
      </c>
      <c r="N40" s="92" t="n">
        <v>0</v>
      </c>
    </row>
    <row r="41" customFormat="false" ht="22.5" hidden="false" customHeight="true" outlineLevel="0" collapsed="false">
      <c r="A41" s="73" t="s">
        <v>69</v>
      </c>
      <c r="B41" s="74" t="s">
        <v>69</v>
      </c>
      <c r="C41" s="94"/>
      <c r="D41" s="94"/>
      <c r="E41" s="76" t="n">
        <v>0.572916666666667</v>
      </c>
      <c r="F41" s="77" t="n">
        <v>0.915277777777778</v>
      </c>
      <c r="G41" s="76" t="n">
        <v>0.738194444444444</v>
      </c>
      <c r="H41" s="77" t="n">
        <v>0.988194444444444</v>
      </c>
      <c r="I41" s="76" t="n">
        <v>0.572916666666667</v>
      </c>
      <c r="J41" s="77" t="n">
        <v>0.915277777777778</v>
      </c>
      <c r="K41" s="76" t="n">
        <v>0.816666666666667</v>
      </c>
      <c r="L41" s="77" t="n">
        <v>1.06666666666667</v>
      </c>
      <c r="M41" s="76" t="n">
        <v>0.604166666666667</v>
      </c>
      <c r="N41" s="77" t="n">
        <v>0.984722222222222</v>
      </c>
    </row>
    <row r="42" customFormat="false" ht="22.5" hidden="false" customHeight="true" outlineLevel="0" collapsed="false">
      <c r="A42" s="80" t="s">
        <v>69</v>
      </c>
      <c r="B42" s="81" t="s">
        <v>69</v>
      </c>
      <c r="C42" s="94"/>
      <c r="D42" s="94"/>
      <c r="E42" s="83" t="s">
        <v>100</v>
      </c>
      <c r="F42" s="84"/>
      <c r="G42" s="83" t="s">
        <v>107</v>
      </c>
      <c r="H42" s="95" t="s">
        <v>108</v>
      </c>
      <c r="I42" s="83" t="s">
        <v>100</v>
      </c>
      <c r="J42" s="84"/>
      <c r="K42" s="83" t="s">
        <v>109</v>
      </c>
      <c r="L42" s="95" t="s">
        <v>121</v>
      </c>
      <c r="M42" s="83" t="s">
        <v>111</v>
      </c>
      <c r="N42" s="84"/>
    </row>
    <row r="43" customFormat="false" ht="22.5" hidden="false" customHeight="true" outlineLevel="0" collapsed="false">
      <c r="A43" s="86" t="s">
        <v>72</v>
      </c>
      <c r="B43" s="86"/>
      <c r="C43" s="87" t="s">
        <v>72</v>
      </c>
      <c r="D43" s="87"/>
      <c r="E43" s="96" t="s">
        <v>102</v>
      </c>
      <c r="F43" s="96"/>
      <c r="G43" s="97"/>
      <c r="H43" s="97"/>
      <c r="I43" s="96" t="s">
        <v>102</v>
      </c>
      <c r="J43" s="96"/>
      <c r="K43" s="97"/>
      <c r="L43" s="97"/>
      <c r="M43" s="96" t="s">
        <v>122</v>
      </c>
      <c r="N43" s="96"/>
    </row>
    <row r="44" customFormat="false" ht="22.5" hidden="false" customHeight="true" outlineLevel="0" collapsed="false">
      <c r="A44" s="86" t="s">
        <v>69</v>
      </c>
      <c r="B44" s="86"/>
      <c r="C44" s="87" t="s">
        <v>69</v>
      </c>
      <c r="D44" s="87"/>
      <c r="E44" s="87" t="s">
        <v>69</v>
      </c>
      <c r="F44" s="87"/>
      <c r="G44" s="87" t="s">
        <v>69</v>
      </c>
      <c r="H44" s="87"/>
      <c r="I44" s="87" t="s">
        <v>69</v>
      </c>
      <c r="J44" s="87"/>
      <c r="K44" s="101" t="s">
        <v>69</v>
      </c>
      <c r="L44" s="101"/>
      <c r="M44" s="86" t="s">
        <v>69</v>
      </c>
      <c r="N44" s="86"/>
    </row>
    <row r="45" customFormat="false" ht="22.5" hidden="false" customHeight="true" outlineLevel="0" collapsed="false">
      <c r="A45" s="91" t="s">
        <v>69</v>
      </c>
      <c r="B45" s="92" t="n">
        <v>0</v>
      </c>
      <c r="C45" s="93" t="s">
        <v>69</v>
      </c>
      <c r="D45" s="92" t="n">
        <v>0</v>
      </c>
      <c r="E45" s="93" t="s">
        <v>69</v>
      </c>
      <c r="F45" s="92" t="n">
        <v>0.342361111111111</v>
      </c>
      <c r="G45" s="93" t="s">
        <v>69</v>
      </c>
      <c r="H45" s="92" t="n">
        <v>0.25</v>
      </c>
      <c r="I45" s="93" t="s">
        <v>69</v>
      </c>
      <c r="J45" s="92" t="n">
        <v>0.342361111111111</v>
      </c>
      <c r="K45" s="93" t="s">
        <v>69</v>
      </c>
      <c r="L45" s="102" t="n">
        <v>0.25</v>
      </c>
      <c r="M45" s="91" t="s">
        <v>69</v>
      </c>
      <c r="N45" s="92" t="n">
        <v>0.338888888888889</v>
      </c>
    </row>
    <row r="46" customFormat="false" ht="22.5" hidden="false" customHeight="true" outlineLevel="0" collapsed="false">
      <c r="A46" s="76" t="n">
        <v>0.543055555555555</v>
      </c>
      <c r="B46" s="77" t="n">
        <v>0.8375</v>
      </c>
      <c r="C46" s="94"/>
      <c r="D46" s="94"/>
      <c r="E46" s="76" t="n">
        <v>0.276388888888889</v>
      </c>
      <c r="F46" s="77" t="n">
        <v>0.56875</v>
      </c>
      <c r="G46" s="78" t="n">
        <v>0.208333333333333</v>
      </c>
      <c r="H46" s="79" t="n">
        <v>0.541666666666667</v>
      </c>
      <c r="I46" s="76" t="n">
        <v>0.215972222222222</v>
      </c>
      <c r="J46" s="77" t="n">
        <v>0.598611111111111</v>
      </c>
      <c r="K46" s="78" t="n">
        <v>0.208333333333333</v>
      </c>
      <c r="L46" s="79" t="n">
        <v>0.541666666666667</v>
      </c>
      <c r="M46" s="75" t="s">
        <v>69</v>
      </c>
      <c r="N46" s="74" t="s">
        <v>69</v>
      </c>
    </row>
    <row r="47" customFormat="false" ht="22.5" hidden="false" customHeight="true" outlineLevel="0" collapsed="false">
      <c r="A47" s="83" t="s">
        <v>113</v>
      </c>
      <c r="B47" s="95" t="s">
        <v>120</v>
      </c>
      <c r="C47" s="94"/>
      <c r="D47" s="94"/>
      <c r="E47" s="83" t="s">
        <v>78</v>
      </c>
      <c r="F47" s="95" t="s">
        <v>79</v>
      </c>
      <c r="G47" s="82" t="s">
        <v>69</v>
      </c>
      <c r="H47" s="85" t="s">
        <v>69</v>
      </c>
      <c r="I47" s="83" t="s">
        <v>77</v>
      </c>
      <c r="J47" s="84"/>
      <c r="K47" s="82" t="s">
        <v>69</v>
      </c>
      <c r="L47" s="85" t="s">
        <v>69</v>
      </c>
      <c r="M47" s="82" t="s">
        <v>69</v>
      </c>
      <c r="N47" s="81" t="s">
        <v>69</v>
      </c>
    </row>
    <row r="48" customFormat="false" ht="22.5" hidden="false" customHeight="true" outlineLevel="0" collapsed="false">
      <c r="A48" s="97"/>
      <c r="B48" s="97"/>
      <c r="C48" s="87" t="s">
        <v>72</v>
      </c>
      <c r="D48" s="87"/>
      <c r="E48" s="97"/>
      <c r="F48" s="97"/>
      <c r="G48" s="87" t="s">
        <v>74</v>
      </c>
      <c r="H48" s="87"/>
      <c r="I48" s="96" t="s">
        <v>81</v>
      </c>
      <c r="J48" s="96"/>
      <c r="K48" s="87" t="s">
        <v>74</v>
      </c>
      <c r="L48" s="87"/>
      <c r="M48" s="87" t="s">
        <v>72</v>
      </c>
      <c r="N48" s="87"/>
    </row>
    <row r="49" customFormat="false" ht="22.5" hidden="false" customHeight="true" outlineLevel="0" collapsed="false">
      <c r="A49" s="86" t="s">
        <v>69</v>
      </c>
      <c r="B49" s="86"/>
      <c r="C49" s="87" t="s">
        <v>69</v>
      </c>
      <c r="D49" s="87"/>
      <c r="E49" s="90"/>
      <c r="F49" s="90"/>
      <c r="G49" s="87" t="s">
        <v>69</v>
      </c>
      <c r="H49" s="87"/>
      <c r="I49" s="87" t="s">
        <v>69</v>
      </c>
      <c r="J49" s="87"/>
      <c r="K49" s="87" t="s">
        <v>69</v>
      </c>
      <c r="L49" s="87"/>
      <c r="M49" s="87" t="s">
        <v>69</v>
      </c>
      <c r="N49" s="87"/>
    </row>
    <row r="50" customFormat="false" ht="22.5" hidden="false" customHeight="true" outlineLevel="0" collapsed="false">
      <c r="A50" s="91" t="s">
        <v>69</v>
      </c>
      <c r="B50" s="92" t="n">
        <v>0.294444444444444</v>
      </c>
      <c r="C50" s="93" t="s">
        <v>69</v>
      </c>
      <c r="D50" s="92" t="n">
        <v>0</v>
      </c>
      <c r="E50" s="93" t="s">
        <v>69</v>
      </c>
      <c r="F50" s="92" t="n">
        <v>0.292361111111111</v>
      </c>
      <c r="G50" s="93" t="s">
        <v>69</v>
      </c>
      <c r="H50" s="92" t="n">
        <v>0.333333333333333</v>
      </c>
      <c r="I50" s="93" t="s">
        <v>69</v>
      </c>
      <c r="J50" s="92" t="n">
        <v>0.382638888888889</v>
      </c>
      <c r="K50" s="93" t="s">
        <v>69</v>
      </c>
      <c r="L50" s="92" t="n">
        <v>0.333333333333333</v>
      </c>
      <c r="M50" s="93" t="s">
        <v>69</v>
      </c>
      <c r="N50" s="92" t="n">
        <v>0</v>
      </c>
    </row>
    <row r="51" customFormat="false" ht="22.5" hidden="false" customHeight="true" outlineLevel="0" collapsed="false">
      <c r="A51" s="73" t="s">
        <v>69</v>
      </c>
      <c r="B51" s="74" t="s">
        <v>69</v>
      </c>
      <c r="C51" s="76" t="n">
        <v>0.572916666666667</v>
      </c>
      <c r="D51" s="77" t="n">
        <v>0.915277777777778</v>
      </c>
      <c r="E51" s="78" t="n">
        <v>0.583333333333333</v>
      </c>
      <c r="F51" s="79" t="n">
        <v>0.916666666666667</v>
      </c>
      <c r="G51" s="76" t="n">
        <v>0.572916666666667</v>
      </c>
      <c r="H51" s="77" t="n">
        <v>0.915277777777778</v>
      </c>
      <c r="I51" s="76" t="n">
        <v>0.738194444444444</v>
      </c>
      <c r="J51" s="77" t="n">
        <v>0.988194444444444</v>
      </c>
      <c r="K51" s="76" t="n">
        <v>0.738194444444444</v>
      </c>
      <c r="L51" s="77" t="n">
        <v>0.988194444444444</v>
      </c>
      <c r="M51" s="75" t="s">
        <v>69</v>
      </c>
      <c r="N51" s="74" t="s">
        <v>69</v>
      </c>
    </row>
    <row r="52" customFormat="false" ht="22.5" hidden="false" customHeight="true" outlineLevel="0" collapsed="false">
      <c r="A52" s="80" t="s">
        <v>69</v>
      </c>
      <c r="B52" s="85" t="s">
        <v>69</v>
      </c>
      <c r="C52" s="83" t="s">
        <v>100</v>
      </c>
      <c r="D52" s="84"/>
      <c r="E52" s="82" t="s">
        <v>69</v>
      </c>
      <c r="F52" s="81" t="s">
        <v>69</v>
      </c>
      <c r="G52" s="83" t="s">
        <v>100</v>
      </c>
      <c r="H52" s="84"/>
      <c r="I52" s="83" t="s">
        <v>107</v>
      </c>
      <c r="J52" s="95" t="s">
        <v>108</v>
      </c>
      <c r="K52" s="83" t="s">
        <v>107</v>
      </c>
      <c r="L52" s="95" t="s">
        <v>108</v>
      </c>
      <c r="M52" s="82" t="s">
        <v>69</v>
      </c>
      <c r="N52" s="81" t="s">
        <v>69</v>
      </c>
    </row>
    <row r="53" customFormat="false" ht="22.5" hidden="false" customHeight="true" outlineLevel="0" collapsed="false">
      <c r="A53" s="86" t="s">
        <v>72</v>
      </c>
      <c r="B53" s="86"/>
      <c r="C53" s="96" t="s">
        <v>102</v>
      </c>
      <c r="D53" s="96"/>
      <c r="E53" s="87" t="s">
        <v>74</v>
      </c>
      <c r="F53" s="87"/>
      <c r="G53" s="96" t="s">
        <v>102</v>
      </c>
      <c r="H53" s="96"/>
      <c r="I53" s="87" t="s">
        <v>69</v>
      </c>
      <c r="J53" s="87"/>
      <c r="K53" s="87" t="s">
        <v>69</v>
      </c>
      <c r="L53" s="87"/>
      <c r="M53" s="87" t="s">
        <v>72</v>
      </c>
      <c r="N53" s="87"/>
    </row>
    <row r="54" customFormat="false" ht="22.5" hidden="false" customHeight="true" outlineLevel="0" collapsed="false">
      <c r="A54" s="86" t="s">
        <v>69</v>
      </c>
      <c r="B54" s="86"/>
      <c r="C54" s="87" t="s">
        <v>69</v>
      </c>
      <c r="D54" s="87"/>
      <c r="E54" s="87" t="s">
        <v>69</v>
      </c>
      <c r="F54" s="87"/>
      <c r="G54" s="87" t="s">
        <v>69</v>
      </c>
      <c r="H54" s="87"/>
      <c r="I54" s="87" t="s">
        <v>69</v>
      </c>
      <c r="J54" s="87"/>
      <c r="K54" s="87" t="s">
        <v>69</v>
      </c>
      <c r="L54" s="87"/>
      <c r="M54" s="87" t="s">
        <v>69</v>
      </c>
      <c r="N54" s="87"/>
    </row>
    <row r="55" customFormat="false" ht="22.5" hidden="false" customHeight="true" outlineLevel="0" collapsed="false">
      <c r="A55" s="91" t="s">
        <v>69</v>
      </c>
      <c r="B55" s="92" t="n">
        <v>0</v>
      </c>
      <c r="C55" s="93" t="s">
        <v>69</v>
      </c>
      <c r="D55" s="92" t="n">
        <v>0.342361111111111</v>
      </c>
      <c r="E55" s="93" t="s">
        <v>69</v>
      </c>
      <c r="F55" s="92" t="n">
        <v>0.333333333333333</v>
      </c>
      <c r="G55" s="93" t="s">
        <v>69</v>
      </c>
      <c r="H55" s="92" t="n">
        <v>0.342361111111111</v>
      </c>
      <c r="I55" s="93" t="s">
        <v>69</v>
      </c>
      <c r="J55" s="92" t="n">
        <v>0.25</v>
      </c>
      <c r="K55" s="93" t="s">
        <v>69</v>
      </c>
      <c r="L55" s="102" t="n">
        <v>0.25</v>
      </c>
      <c r="M55" s="91" t="s">
        <v>69</v>
      </c>
      <c r="N55" s="92" t="n">
        <v>0</v>
      </c>
    </row>
    <row r="56" customFormat="false" ht="22.5" hidden="false" customHeight="true" outlineLevel="0" collapsed="false">
      <c r="A56" s="73" t="s">
        <v>69</v>
      </c>
      <c r="B56" s="74" t="s">
        <v>69</v>
      </c>
      <c r="C56" s="75" t="s">
        <v>69</v>
      </c>
      <c r="D56" s="74" t="s">
        <v>69</v>
      </c>
      <c r="E56" s="75" t="s">
        <v>69</v>
      </c>
      <c r="F56" s="74" t="s">
        <v>69</v>
      </c>
      <c r="G56" s="75" t="s">
        <v>69</v>
      </c>
      <c r="H56" s="74" t="s">
        <v>69</v>
      </c>
      <c r="I56" s="75" t="s">
        <v>69</v>
      </c>
      <c r="J56" s="74" t="s">
        <v>69</v>
      </c>
      <c r="K56" s="75" t="s">
        <v>69</v>
      </c>
      <c r="L56" s="74" t="s">
        <v>69</v>
      </c>
      <c r="M56" s="75" t="s">
        <v>69</v>
      </c>
      <c r="N56" s="74" t="s">
        <v>69</v>
      </c>
    </row>
    <row r="57" customFormat="false" ht="22.5" hidden="false" customHeight="true" outlineLevel="0" collapsed="false">
      <c r="A57" s="80" t="s">
        <v>69</v>
      </c>
      <c r="B57" s="85" t="s">
        <v>69</v>
      </c>
      <c r="C57" s="82" t="s">
        <v>69</v>
      </c>
      <c r="D57" s="81" t="s">
        <v>69</v>
      </c>
      <c r="E57" s="82" t="s">
        <v>69</v>
      </c>
      <c r="F57" s="81" t="s">
        <v>69</v>
      </c>
      <c r="G57" s="82" t="s">
        <v>69</v>
      </c>
      <c r="H57" s="85" t="s">
        <v>69</v>
      </c>
      <c r="I57" s="82" t="s">
        <v>69</v>
      </c>
      <c r="J57" s="85" t="s">
        <v>69</v>
      </c>
      <c r="K57" s="82" t="s">
        <v>69</v>
      </c>
      <c r="L57" s="85" t="s">
        <v>69</v>
      </c>
      <c r="M57" s="82" t="s">
        <v>69</v>
      </c>
      <c r="N57" s="81" t="s">
        <v>69</v>
      </c>
    </row>
    <row r="58" customFormat="false" ht="22.5" hidden="false" customHeight="true" outlineLevel="0" collapsed="false">
      <c r="A58" s="86" t="s">
        <v>69</v>
      </c>
      <c r="B58" s="86"/>
      <c r="C58" s="87" t="s">
        <v>69</v>
      </c>
      <c r="D58" s="87"/>
      <c r="E58" s="87" t="s">
        <v>69</v>
      </c>
      <c r="F58" s="87"/>
      <c r="G58" s="87" t="s">
        <v>69</v>
      </c>
      <c r="H58" s="87"/>
      <c r="I58" s="87" t="s">
        <v>69</v>
      </c>
      <c r="J58" s="87"/>
      <c r="K58" s="87" t="s">
        <v>69</v>
      </c>
      <c r="L58" s="87"/>
      <c r="M58" s="87" t="s">
        <v>69</v>
      </c>
      <c r="N58" s="87"/>
    </row>
    <row r="59" customFormat="false" ht="22.5" hidden="false" customHeight="true" outlineLevel="0" collapsed="false">
      <c r="A59" s="86" t="s">
        <v>69</v>
      </c>
      <c r="B59" s="86"/>
      <c r="C59" s="87" t="s">
        <v>69</v>
      </c>
      <c r="D59" s="87"/>
      <c r="E59" s="87" t="s">
        <v>69</v>
      </c>
      <c r="F59" s="87"/>
      <c r="G59" s="87" t="s">
        <v>69</v>
      </c>
      <c r="H59" s="87"/>
      <c r="I59" s="87" t="s">
        <v>69</v>
      </c>
      <c r="J59" s="87"/>
      <c r="K59" s="87" t="s">
        <v>69</v>
      </c>
      <c r="L59" s="87"/>
      <c r="M59" s="87" t="s">
        <v>69</v>
      </c>
      <c r="N59" s="87"/>
    </row>
  </sheetData>
  <mergeCells count="165">
    <mergeCell ref="A3:B3"/>
    <mergeCell ref="C3:D3"/>
    <mergeCell ref="E3:F3"/>
    <mergeCell ref="G3:H3"/>
    <mergeCell ref="I3:J3"/>
    <mergeCell ref="K3:L3"/>
    <mergeCell ref="M3:N3"/>
    <mergeCell ref="A4:B4"/>
    <mergeCell ref="C4:D4"/>
    <mergeCell ref="E4:F4"/>
    <mergeCell ref="G4:H4"/>
    <mergeCell ref="I4:J4"/>
    <mergeCell ref="K4:L4"/>
    <mergeCell ref="M4:N4"/>
    <mergeCell ref="A8:B8"/>
    <mergeCell ref="C8:D8"/>
    <mergeCell ref="E8:F8"/>
    <mergeCell ref="G8:H8"/>
    <mergeCell ref="I8:J8"/>
    <mergeCell ref="K8:L8"/>
    <mergeCell ref="M8:N8"/>
    <mergeCell ref="A9:B9"/>
    <mergeCell ref="C9:D9"/>
    <mergeCell ref="E9:F9"/>
    <mergeCell ref="I9:J9"/>
    <mergeCell ref="K9:L9"/>
    <mergeCell ref="M9:N9"/>
    <mergeCell ref="A13:B13"/>
    <mergeCell ref="C13:D13"/>
    <mergeCell ref="E13:F13"/>
    <mergeCell ref="G13:H13"/>
    <mergeCell ref="I13:J13"/>
    <mergeCell ref="K13:L13"/>
    <mergeCell ref="M13:N13"/>
    <mergeCell ref="A14:B14"/>
    <mergeCell ref="C14:D14"/>
    <mergeCell ref="E14:F14"/>
    <mergeCell ref="G14:H14"/>
    <mergeCell ref="I14:J14"/>
    <mergeCell ref="K14:L14"/>
    <mergeCell ref="M14:N14"/>
    <mergeCell ref="A18:B18"/>
    <mergeCell ref="C18:D18"/>
    <mergeCell ref="E18:F18"/>
    <mergeCell ref="G18:H18"/>
    <mergeCell ref="I18:J18"/>
    <mergeCell ref="K18:L18"/>
    <mergeCell ref="M18:N18"/>
    <mergeCell ref="A19:B19"/>
    <mergeCell ref="C19:D19"/>
    <mergeCell ref="E19:F19"/>
    <mergeCell ref="G19:H19"/>
    <mergeCell ref="I19:J19"/>
    <mergeCell ref="K19:L19"/>
    <mergeCell ref="M19:N19"/>
    <mergeCell ref="A23:B23"/>
    <mergeCell ref="C23:D23"/>
    <mergeCell ref="E23:F23"/>
    <mergeCell ref="G23:H23"/>
    <mergeCell ref="I23:J23"/>
    <mergeCell ref="K23:L23"/>
    <mergeCell ref="M23:N23"/>
    <mergeCell ref="A24:B24"/>
    <mergeCell ref="C24:D24"/>
    <mergeCell ref="E24:F24"/>
    <mergeCell ref="G24:H24"/>
    <mergeCell ref="I24:J24"/>
    <mergeCell ref="K24:L24"/>
    <mergeCell ref="M24:N24"/>
    <mergeCell ref="A28:B28"/>
    <mergeCell ref="C28:D28"/>
    <mergeCell ref="E28:F28"/>
    <mergeCell ref="G28:H28"/>
    <mergeCell ref="I28:J28"/>
    <mergeCell ref="K28:L28"/>
    <mergeCell ref="M28:N28"/>
    <mergeCell ref="A29:B29"/>
    <mergeCell ref="C29:D29"/>
    <mergeCell ref="E29:F29"/>
    <mergeCell ref="G29:H29"/>
    <mergeCell ref="I29:J29"/>
    <mergeCell ref="K29:L29"/>
    <mergeCell ref="M29:N29"/>
    <mergeCell ref="A33:B33"/>
    <mergeCell ref="C33:D33"/>
    <mergeCell ref="E33:F33"/>
    <mergeCell ref="G33:H33"/>
    <mergeCell ref="I33:J33"/>
    <mergeCell ref="K33:L33"/>
    <mergeCell ref="M33:N33"/>
    <mergeCell ref="A34:B34"/>
    <mergeCell ref="C34:D34"/>
    <mergeCell ref="E34:F34"/>
    <mergeCell ref="I34:J34"/>
    <mergeCell ref="K34:L34"/>
    <mergeCell ref="M34:N34"/>
    <mergeCell ref="A38:B38"/>
    <mergeCell ref="C38:D38"/>
    <mergeCell ref="E38:F38"/>
    <mergeCell ref="G38:H38"/>
    <mergeCell ref="I38:J38"/>
    <mergeCell ref="K38:L38"/>
    <mergeCell ref="M38:N38"/>
    <mergeCell ref="A39:B39"/>
    <mergeCell ref="E39:F39"/>
    <mergeCell ref="G39:H39"/>
    <mergeCell ref="I39:J39"/>
    <mergeCell ref="K39:L39"/>
    <mergeCell ref="M39:N39"/>
    <mergeCell ref="A43:B43"/>
    <mergeCell ref="C43:D43"/>
    <mergeCell ref="E43:F43"/>
    <mergeCell ref="G43:H43"/>
    <mergeCell ref="I43:J43"/>
    <mergeCell ref="K43:L43"/>
    <mergeCell ref="M43:N43"/>
    <mergeCell ref="A44:B44"/>
    <mergeCell ref="C44:D44"/>
    <mergeCell ref="E44:F44"/>
    <mergeCell ref="G44:H44"/>
    <mergeCell ref="I44:J44"/>
    <mergeCell ref="K44:L44"/>
    <mergeCell ref="M44:N44"/>
    <mergeCell ref="A48:B48"/>
    <mergeCell ref="C48:D48"/>
    <mergeCell ref="E48:F48"/>
    <mergeCell ref="G48:H48"/>
    <mergeCell ref="I48:J48"/>
    <mergeCell ref="K48:L48"/>
    <mergeCell ref="M48:N48"/>
    <mergeCell ref="A49:B49"/>
    <mergeCell ref="C49:D49"/>
    <mergeCell ref="E49:F49"/>
    <mergeCell ref="G49:H49"/>
    <mergeCell ref="I49:J49"/>
    <mergeCell ref="K49:L49"/>
    <mergeCell ref="M49:N49"/>
    <mergeCell ref="A53:B53"/>
    <mergeCell ref="C53:D53"/>
    <mergeCell ref="E53:F53"/>
    <mergeCell ref="G53:H53"/>
    <mergeCell ref="I53:J53"/>
    <mergeCell ref="K53:L53"/>
    <mergeCell ref="M53:N53"/>
    <mergeCell ref="A54:B54"/>
    <mergeCell ref="C54:D54"/>
    <mergeCell ref="E54:F54"/>
    <mergeCell ref="G54:H54"/>
    <mergeCell ref="I54:J54"/>
    <mergeCell ref="K54:L54"/>
    <mergeCell ref="M54:N54"/>
    <mergeCell ref="A58:B58"/>
    <mergeCell ref="C58:D58"/>
    <mergeCell ref="E58:F58"/>
    <mergeCell ref="G58:H58"/>
    <mergeCell ref="I58:J58"/>
    <mergeCell ref="K58:L58"/>
    <mergeCell ref="M58:N58"/>
    <mergeCell ref="A59:B59"/>
    <mergeCell ref="C59:D59"/>
    <mergeCell ref="E59:F59"/>
    <mergeCell ref="G59:H59"/>
    <mergeCell ref="I59:J59"/>
    <mergeCell ref="K59:L59"/>
    <mergeCell ref="M59:N59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2351ad29-4f57-4d9c-a34a-429281ccd15b">
      <UserInfo>
        <DisplayName>Justin Smith</DisplayName>
        <AccountId>29</AccountId>
        <AccountType/>
      </UserInfo>
      <UserInfo>
        <DisplayName>Peter Andriessen</DisplayName>
        <AccountId>37</AccountId>
        <AccountType/>
      </UserInfo>
      <UserInfo>
        <DisplayName>Brock Boddington</DisplayName>
        <AccountId>38</AccountId>
        <AccountType/>
      </UserInfo>
      <UserInfo>
        <DisplayName>Jessica Comopoulos</DisplayName>
        <AccountId>39</AccountId>
        <AccountType/>
      </UserInfo>
      <UserInfo>
        <DisplayName>Garry Cook</DisplayName>
        <AccountId>40</AccountId>
        <AccountType/>
      </UserInfo>
      <UserInfo>
        <DisplayName>Kerry Duffy</DisplayName>
        <AccountId>41</AccountId>
        <AccountType/>
      </UserInfo>
      <UserInfo>
        <DisplayName>Calvin Garing</DisplayName>
        <AccountId>42</AccountId>
        <AccountType/>
      </UserInfo>
      <UserInfo>
        <DisplayName>Cameron Hoy</DisplayName>
        <AccountId>43</AccountId>
        <AccountType/>
      </UserInfo>
      <UserInfo>
        <DisplayName>Hannah Hunt</DisplayName>
        <AccountId>44</AccountId>
        <AccountType/>
      </UserInfo>
      <UserInfo>
        <DisplayName>Bronwyn Irving</DisplayName>
        <AccountId>45</AccountId>
        <AccountType/>
      </UserInfo>
      <UserInfo>
        <DisplayName>Rami Mir</DisplayName>
        <AccountId>17</AccountId>
        <AccountType/>
      </UserInfo>
      <UserInfo>
        <DisplayName>Eliot Palmer</DisplayName>
        <AccountId>46</AccountId>
        <AccountType/>
      </UserInfo>
      <UserInfo>
        <DisplayName>Robert Pietrosanti</DisplayName>
        <AccountId>47</AccountId>
        <AccountType/>
      </UserInfo>
      <UserInfo>
        <DisplayName>Brent Ratcliffe</DisplayName>
        <AccountId>48</AccountId>
        <AccountType/>
      </UserInfo>
      <UserInfo>
        <DisplayName>Craig Kitto</DisplayName>
        <AccountId>50</AccountId>
        <AccountType/>
      </UserInfo>
      <UserInfo>
        <DisplayName>Jasmeen Kaur</DisplayName>
        <AccountId>52</AccountId>
        <AccountType/>
      </UserInfo>
      <UserInfo>
        <DisplayName>Simon Munro</DisplayName>
        <AccountId>53</AccountId>
        <AccountType/>
      </UserInfo>
      <UserInfo>
        <DisplayName>Amanda Edsall</DisplayName>
        <AccountId>30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0F624CDD8EAC43AE53F8AA6B51FEC1" ma:contentTypeVersion="4" ma:contentTypeDescription="Create a new document." ma:contentTypeScope="" ma:versionID="b7c43f70f58ac2ab9f74c504d319bb59">
  <xsd:schema xmlns:xsd="http://www.w3.org/2001/XMLSchema" xmlns:xs="http://www.w3.org/2001/XMLSchema" xmlns:p="http://schemas.microsoft.com/office/2006/metadata/properties" xmlns:ns2="e66fd8f2-276c-43e4-9dc5-f68eae3abf6d" xmlns:ns3="2351ad29-4f57-4d9c-a34a-429281ccd15b" targetNamespace="http://schemas.microsoft.com/office/2006/metadata/properties" ma:root="true" ma:fieldsID="d831b4ee795bbc586ddbafcebdc13b57" ns2:_="" ns3:_="">
    <xsd:import namespace="e66fd8f2-276c-43e4-9dc5-f68eae3abf6d"/>
    <xsd:import namespace="2351ad29-4f57-4d9c-a34a-429281ccd15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6fd8f2-276c-43e4-9dc5-f68eae3abf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51ad29-4f57-4d9c-a34a-429281ccd15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C086A91-C6B5-46A2-807E-A16DE4BCCE6A}"/>
</file>

<file path=customXml/itemProps2.xml><?xml version="1.0" encoding="utf-8"?>
<ds:datastoreItem xmlns:ds="http://schemas.openxmlformats.org/officeDocument/2006/customXml" ds:itemID="{C173B526-7CC8-49ED-BEEF-845177642B2C}"/>
</file>

<file path=customXml/itemProps3.xml><?xml version="1.0" encoding="utf-8"?>
<ds:datastoreItem xmlns:ds="http://schemas.openxmlformats.org/officeDocument/2006/customXml" ds:itemID="{3E25C6D6-A61B-42FB-807D-F8428D809A68}"/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1687</TotalTime>
  <Application>LibreOffice/7.1.5.2$Windows_X86_64 LibreOffice_project/85f04e9f809797b8199d13c421bd8a2b025d52b5</Application>
  <AppVersion>15.0000</AppVersion>
  <Company>V/LINE PASSENGER PTY LTD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2007-08-31T07:26:05Z</dcterms:created>
  <dc:creator>justin.smith</dc:creator>
  <dc:description/>
  <dc:language>en-US</dc:language>
  <cp:lastModifiedBy/>
  <dcterms:modified xsi:type="dcterms:W3CDTF">2022-05-07T17:16:26Z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0x010100690F624CDD8EAC43AE53F8AA6B51FEC1</vt:lpwstr>
  </property>
</Properties>
</file>